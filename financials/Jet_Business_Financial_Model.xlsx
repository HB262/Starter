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tartup Budget" sheetId="2" state="visible" r:id="rId4"/>
    <sheet name="Fleet Plan" sheetId="3" state="visible" r:id="rId5"/>
    <sheet name="Assumptions" sheetId="4" state="visible" r:id="rId6"/>
    <sheet name="Financing Scenarios" sheetId="5" state="visible" r:id="rId7"/>
    <sheet name="Unit Economics" sheetId="6" state="visible" r:id="rId8"/>
    <sheet name="Debt Own" sheetId="7" state="visible" r:id="rId9"/>
    <sheet name="Forecast Own" sheetId="8" state="visible" r:id="rId10"/>
    <sheet name="Debt Mgmt" sheetId="9" state="visible" r:id="rId11"/>
    <sheet name="Forecast Mgmt" sheetId="10" state="visible" r:id="rId12"/>
    <sheet name="Debt Hybrid" sheetId="11" state="visible" r:id="rId13"/>
    <sheet name="Forecast Hybri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<sst xmlns="http://schemas.openxmlformats.org/spreadsheetml/2006/main" count="1050" uniqueCount="439">
  <si>
    <t xml:space="preserve">Jet overflow charter business: dashboard</t>
  </si>
  <si>
    <t xml:space="preserve">Change the scenario on the Assumptions sheet (cell C3). All figures update.</t>
  </si>
  <si>
    <t xml:space="preserve">One jet, mature year</t>
  </si>
  <si>
    <t xml:space="preserve">Value</t>
  </si>
  <si>
    <t xml:space="preserve">What it means</t>
  </si>
  <si>
    <t xml:space="preserve">Purchase price, Jet #1</t>
  </si>
  <si>
    <t xml:space="preserve">Equity to raise for launch</t>
  </si>
  <si>
    <t xml:space="preserve">Down payment + startup costs + reserve</t>
  </si>
  <si>
    <t xml:space="preserve">Aircraft loan</t>
  </si>
  <si>
    <t xml:space="preserve">EBITDA, one jet</t>
  </si>
  <si>
    <t xml:space="preserve">Before debt</t>
  </si>
  <si>
    <t xml:space="preserve">Annual debt service, one jet</t>
  </si>
  <si>
    <t xml:space="preserve">Cash flow after debt, one jet</t>
  </si>
  <si>
    <t xml:space="preserve">Negative = investors fund the gap</t>
  </si>
  <si>
    <t xml:space="preserve">Breakeven billable hours (EBITDA)</t>
  </si>
  <si>
    <t xml:space="preserve">Breakeven billable hours incl. debt</t>
  </si>
  <si>
    <t xml:space="preserve">Over ~1,000 hrs means hours alone can't fix it</t>
  </si>
  <si>
    <t xml:space="preserve">NetJets rate needed, EBITDA breakeven</t>
  </si>
  <si>
    <t xml:space="preserve">Per billable hour, at the assumed hours</t>
  </si>
  <si>
    <t xml:space="preserve">NetJets rate needed, incl. debt service</t>
  </si>
  <si>
    <t xml:space="preserve">Key number to get from EJM</t>
  </si>
  <si>
    <t xml:space="preserve">Stop-loss test passed? (1 = yes)</t>
  </si>
  <si>
    <t xml:space="preserve">0 = owned fleet frozen at one jet</t>
  </si>
  <si>
    <t xml:space="preserve">Growth strategy comparison (2027-2036)</t>
  </si>
  <si>
    <t xml:space="preserve">Ownership</t>
  </si>
  <si>
    <t xml:space="preserve">Management-led</t>
  </si>
  <si>
    <t xml:space="preserve">Hybrid</t>
  </si>
  <si>
    <t xml:space="preserve">Note</t>
  </si>
  <si>
    <t xml:space="preserve">Owned aircraft at exit</t>
  </si>
  <si>
    <t xml:space="preserve">Third-party managed aircraft at exit</t>
  </si>
  <si>
    <t xml:space="preserve">Revenue in exit year</t>
  </si>
  <si>
    <t xml:space="preserve">EBITDA in exit year</t>
  </si>
  <si>
    <t xml:space="preserve">Debt outstanding at exit</t>
  </si>
  <si>
    <t xml:space="preserve">Peak equity to raise</t>
  </si>
  <si>
    <t xml:space="preserve">Total investor capital needed</t>
  </si>
  <si>
    <t xml:space="preserve">Net exit proceeds</t>
  </si>
  <si>
    <t xml:space="preserve">Before investor taxes</t>
  </si>
  <si>
    <t xml:space="preserve">Investors receive (LP)</t>
  </si>
  <si>
    <t xml:space="preserve">After 8% pref and 80/20 split</t>
  </si>
  <si>
    <t xml:space="preserve">Investor multiple (MOIC)</t>
  </si>
  <si>
    <t xml:space="preserve">Investor IRR, pre-tax</t>
  </si>
  <si>
    <t xml:space="preserve">Investor after-tax multiple, if losses usable</t>
  </si>
  <si>
    <t xml:space="preserve">Counts depreciation tax savings, net of recapture</t>
  </si>
  <si>
    <t xml:space="preserve">Investor IRR, after tax if losses usable</t>
  </si>
  <si>
    <t xml:space="preserve">n/a = year-1 tax savings exceed the cash invested</t>
  </si>
  <si>
    <t xml:space="preserve">GP promote (Henry + Chief Pilot)</t>
  </si>
  <si>
    <t xml:space="preserve">Sweat-equity payoff at exit</t>
  </si>
  <si>
    <t xml:space="preserve">GP acquisition fees</t>
  </si>
  <si>
    <t xml:space="preserve">Legend</t>
  </si>
  <si>
    <t xml:space="preserve">Blue text: input you can change</t>
  </si>
  <si>
    <t xml:space="preserve">Black text: formula</t>
  </si>
  <si>
    <t xml:space="preserve">Green text: link to another sheet</t>
  </si>
  <si>
    <t xml:space="preserve">Yellow fill: key lever</t>
  </si>
  <si>
    <t xml:space="preserve">All estimates must be verified with quotes from lenders, EJM, insurers and an aircraft broker.</t>
  </si>
  <si>
    <t xml:space="preserve">Startup budget: first aircraft (Live scenario)</t>
  </si>
  <si>
    <t xml:space="preserve">Uses and sources of cash to get Jet #1 flying revenue trips.</t>
  </si>
  <si>
    <t xml:space="preserve">Uses of cash</t>
  </si>
  <si>
    <t xml:space="preserve">Amount</t>
  </si>
  <si>
    <t xml:space="preserve">Purchase price</t>
  </si>
  <si>
    <t xml:space="preserve">Assumptions</t>
  </si>
  <si>
    <t xml:space="preserve">Pre-buy inspection</t>
  </si>
  <si>
    <t xml:space="preserve">Closing legal, escrow, title, registration</t>
  </si>
  <si>
    <t xml:space="preserve">Part 135 onboarding, conformity, Wi-Fi/avionics</t>
  </si>
  <si>
    <t xml:space="preserve">Interior/paint refresh</t>
  </si>
  <si>
    <t xml:space="preserve">Initial crew training and hiring</t>
  </si>
  <si>
    <t xml:space="preserve">Post-purchase squawk and maintenance reserve</t>
  </si>
  <si>
    <t xml:space="preserve">One-time, conservative; unspent cash stays in the company</t>
  </si>
  <si>
    <t xml:space="preserve">Company formation, legal, accounting, insurance setup</t>
  </si>
  <si>
    <t xml:space="preserve">Investor offering costs (securities counsel, PPM, Form D)</t>
  </si>
  <si>
    <t xml:space="preserve">GP acquisition fee</t>
  </si>
  <si>
    <t xml:space="preserve">Paid to Henry's GP entity at closing</t>
  </si>
  <si>
    <t xml:space="preserve">Cash reserve (operating)</t>
  </si>
  <si>
    <t xml:space="preserve">Months of fixed cost per Assumptions</t>
  </si>
  <si>
    <t xml:space="preserve">Total uses</t>
  </si>
  <si>
    <t xml:space="preserve">Sources of cash</t>
  </si>
  <si>
    <t xml:space="preserve">Senior secured loan at Live LTV</t>
  </si>
  <si>
    <t xml:space="preserve">Investor equity (LP units)</t>
  </si>
  <si>
    <t xml:space="preserve">GP co-investment</t>
  </si>
  <si>
    <t xml:space="preserve">Total sources</t>
  </si>
  <si>
    <t xml:space="preserve">Equity as % of total uses</t>
  </si>
  <si>
    <t xml:space="preserve">First full year operating budget (2028)</t>
  </si>
  <si>
    <t xml:space="preserve">Charter revenue</t>
  </si>
  <si>
    <t xml:space="preserve">One jet; identical in all three strategies in 2028</t>
  </si>
  <si>
    <t xml:space="preserve">Variable flight costs</t>
  </si>
  <si>
    <t xml:space="preserve">Crew</t>
  </si>
  <si>
    <t xml:space="preserve">Training</t>
  </si>
  <si>
    <t xml:space="preserve">Hangar, insurance, other fixed</t>
  </si>
  <si>
    <t xml:space="preserve">Management fees</t>
  </si>
  <si>
    <t xml:space="preserve">Manager's commission</t>
  </si>
  <si>
    <t xml:space="preserve">Company G&amp;A</t>
  </si>
  <si>
    <t xml:space="preserve">EBITDA</t>
  </si>
  <si>
    <t xml:space="preserve">Debt service</t>
  </si>
  <si>
    <t xml:space="preserve">Cash flow after debt service</t>
  </si>
  <si>
    <t xml:space="preserve">Fleet plan by growth strategy</t>
  </si>
  <si>
    <t xml:space="preserve">Aircraft counts at year end (inputs). Owned = financed Sovereign+ jets. Third-party = other owners' jets managed on your certificate (only counts once you hold one). Owned growth stops at one jet if the stop-loss test fails.</t>
  </si>
  <si>
    <t xml:space="preserve">Item</t>
  </si>
  <si>
    <t xml:space="preserve">Cert. 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</si>
  <si>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</si>
  <si>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</si>
  <si>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</si>
  <si>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</si>
  <si>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</si>
  <si>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</si>
  <si>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</si>
  <si>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</si>
  <si>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</si>
  <si>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</si>
  <si>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Ownership: Buy more jets; own certificate operates only owned jets</t>
  </si>
  <si>
    <t xml:space="preserve">Owned aircraft, plan</t>
  </si>
  <si>
    <t xml:space="preserve">Third-party managed aircraft, plan</t>
  </si>
  <si>
    <t xml:space="preserve">Owned aircraft bought (growth frozen at one jet if stop-loss fails)</t>
  </si>
  <si>
    <t xml:space="preserve">Owned aircraft in fleet (after any stop-loss sale)</t>
  </si>
  <si>
    <t xml:space="preserve">Management-led: Keep one owned jet; grow by managing other owners' jets</t>
  </si>
  <si>
    <t xml:space="preserve">Hybrid: Add owned jets slowly and grow third-party management</t>
  </si>
  <si>
    <t xml:space="preserve">Assumptions: Citation Sovereign+ NetJets overflow business (EJM certificate)</t>
  </si>
  <si>
    <t xml:space="preserve">Blue = input you can change. Yellow = key lever. Column F (Live) feeds every forecast based on the scenario selected in C3.</t>
  </si>
  <si>
    <t xml:space="preserve">Active scenario (1 = Downside, 2 = Base, 3 = Upside)</t>
  </si>
  <si>
    <t xml:space="preserve">Assumption</t>
  </si>
  <si>
    <t xml:space="preserve">Unit</t>
  </si>
  <si>
    <t xml:space="preserve">Downside</t>
  </si>
  <si>
    <t xml:space="preserve">Base</t>
  </si>
  <si>
    <t xml:space="preserve">Upside</t>
  </si>
  <si>
    <t xml:space="preserve">Live</t>
  </si>
  <si>
    <t xml:space="preserve">Source / note</t>
  </si>
  <si>
    <t xml:space="preserve">Aircraft acquisition (per aircraft)</t>
  </si>
  <si>
    <t xml:space="preserve">Purchase price, lightly used Citation Sovereign+ (2014-2016)</t>
  </si>
  <si>
    <t xml:space="preserve">$</t>
  </si>
  <si>
    <t xml:space="preserve">Chief Pilot (Derek) prefers a lightly used Sovereign+, e.g. a 2015 on Controller.com. Guardian Jet shows 2015-2018 Sovereign+ asking $10.3-15.0M (avg $12.6M); a 2015 with ~2,000 hrs is listed 'make offer'. Asking &gt; sale price. VERIFY with a broker/JETNET before LOI.</t>
  </si>
  <si>
    <t xml:space="preserve">Annual change in price paid for later aircraft</t>
  </si>
  <si>
    <t xml:space="preserve">%</t>
  </si>
  <si>
    <t xml:space="preserve">Assumes later purchases are similar-vintage aircraft at today's price. Adjust if the market moves.</t>
  </si>
  <si>
    <t xml:space="preserve">Pre-buy inspection (Textron service center)</t>
  </si>
  <si>
    <t xml:space="preserve">Estimate; includes ferry to inspection facility and borescope.</t>
  </si>
  <si>
    <t xml:space="preserve">Estimate.</t>
  </si>
  <si>
    <t xml:space="preserve">Part 135 onboarding, conformity, Wi-Fi/avionics updates</t>
  </si>
  <si>
    <t xml:space="preserve">Adding aircraft to operator's certificate (conformity, manuals, OpSpecs), plus connectivity charter customers expect. Estimate.</t>
  </si>
  <si>
    <t xml:space="preserve">Cosmetic interior / paint refresh</t>
  </si>
  <si>
    <t xml:space="preserve">Fractional customers expect fleet-standard cabins. Estimate.</t>
  </si>
  <si>
    <t xml:space="preserve">Initial crew training and hiring (per aircraft)</t>
  </si>
  <si>
    <t xml:space="preserve">Type rating for new hires (CE-680) and Part 135 initial at EJM's FlightSafety rates. Estimate.</t>
  </si>
  <si>
    <t xml:space="preserve">Post-purchase squawk and unscheduled maintenance reserve (one-time)</t>
  </si>
  <si>
    <t xml:space="preserve">Deliberately conservative (Derek): covers pre-buy findings not credited by the seller, deferred items, and first-year surprises on a 10-year-old airframe. Funded at closing; unspent cash stays in the company.</t>
  </si>
  <si>
    <t xml:space="preserve">Company formation, legal, accounting, insurance setup (once)</t>
  </si>
  <si>
    <t xml:space="preserve">LLC formation, operating agreement, aviation counsel, CPA, insurance broker. Estimate.</t>
  </si>
  <si>
    <t xml:space="preserve">Investor offering costs (securities counsel, PPM, Form D) (once)</t>
  </si>
  <si>
    <t xml:space="preserve">Reg D private placement to accredited investors. Estimate.</t>
  </si>
  <si>
    <t xml:space="preserve">Financing</t>
  </si>
  <si>
    <t xml:space="preserve">Loan-to-value (debt share of purchase price)</t>
  </si>
  <si>
    <t xml:space="preserve">Henry: assume at least 80% debt. Without a strong personal guarantor, lenders may cap an investor-owned SPV at 60-70%. See 'Financing Scenarios'.</t>
  </si>
  <si>
    <t xml:space="preserve">Interest rate (fixed)</t>
  </si>
  <si>
    <t xml:space="preserve">Advertised jet loan rates ~5.6-9% (Sep/Oct 2026 rate sheets); prime 7.00% (Oct 2026). flycraft.com/aircraft-financing/aircraft-loan-rates</t>
  </si>
  <si>
    <t xml:space="preserve">Amortization period</t>
  </si>
  <si>
    <t xml:space="preserve">years</t>
  </si>
  <si>
    <t xml:space="preserve">Typical 10-20 yr amortization, often with a 5-7 yr balloon refinanced at the time. Model assumes refinance on same terms.</t>
  </si>
  <si>
    <t xml:space="preserve">Charter revenue (per owned aircraft)</t>
  </si>
  <si>
    <t xml:space="preserve">Billable revenue hours per aircraft at maturity</t>
  </si>
  <si>
    <t xml:space="preserve">hrs/yr</t>
  </si>
  <si>
    <t xml:space="preserve">Includes billable repositioning. Dedicated fractional supplemental lift can run 800+ hrs; retail-only charter often 300-450.</t>
  </si>
  <si>
    <t xml:space="preserve">Months in revenue service in 2027</t>
  </si>
  <si>
    <t xml:space="preserve">months</t>
  </si>
  <si>
    <t xml:space="preserve">Henry: target revenue flying mid-2027.</t>
  </si>
  <si>
    <t xml:space="preserve">Utilization in first year of service (% of mature)</t>
  </si>
  <si>
    <t xml:space="preserve">Ramp while operator builds the aircraft into its overflow rotation.</t>
  </si>
  <si>
    <t xml:space="preserve">Utilization in second year (% of mature)</t>
  </si>
  <si>
    <t xml:space="preserve">Share of hours flown for NetJets (via EJM)</t>
  </si>
  <si>
    <t xml:space="preserve">Derek: EJM's managed fleet flies ~95% NetJets customers, so little charter selling is needed. The rest is retail charter. Model the NetJets cut-off risk with the hours sensitivity on Unit Economics.</t>
  </si>
  <si>
    <t xml:space="preserve">Rate paid for NetJets trips (via EJM)</t>
  </si>
  <si>
    <t xml:space="preserve">$/hr</t>
  </si>
  <si>
    <t xml:space="preserve">Wholesale is below retail. NetJets' own midsize lift program retails $8,000-10,900/hr (SherpaReport). Estimate; get EJM's actual NetJets rate card for a Sovereign+.</t>
  </si>
  <si>
    <t xml:space="preserve">Retail / broker charter rate</t>
  </si>
  <si>
    <t xml:space="preserve">Excludes 7.5% federal excise tax (collected from the customer and remitted). Estimate.</t>
  </si>
  <si>
    <t xml:space="preserve">Annual charter rate growth</t>
  </si>
  <si>
    <t xml:space="preserve">Unpaid positioning hours (% of billable)</t>
  </si>
  <si>
    <t xml:space="preserve">Denver base means some empty legs to the coasts. Estimate.</t>
  </si>
  <si>
    <t xml:space="preserve">Variable operating costs (per flight hour)</t>
  </si>
  <si>
    <t xml:space="preserve">Fuel burn</t>
  </si>
  <si>
    <t xml:space="preserve">gal/hr</t>
  </si>
  <si>
    <t xml:space="preserve">Guardian Jet: Sovereign+ 274 gal/hr. Base set above that on purpose.</t>
  </si>
  <si>
    <t xml:space="preserve">Jet-A price (EJM negotiated pricing)</t>
  </si>
  <si>
    <t xml:space="preserve">$/gal</t>
  </si>
  <si>
    <t xml:space="preserve">Guardian Jet used $7.54/gal retail. EJM's negotiated fuel should come in lower; not credited until we see the price sheet.</t>
  </si>
  <si>
    <t xml:space="preserve">Airframe maintenance and parts (scheduled + unscheduled)</t>
  </si>
  <si>
    <t xml:space="preserve">Guardian Jet: Sovereign+ maintenance $1,220/hr. Base set at or above the benchmark (Derek: keep it conservative). EJM's in-house A&amp;Ps and labor rates should come in lower.</t>
  </si>
  <si>
    <t xml:space="preserve">Engine program (2 x PW306D, PowerAdvantage+/ESP)</t>
  </si>
  <si>
    <t xml:space="preserve">A 2015 Sovereign+ listing shows PowerAdvantage+ at $453/engine/hr ($906/hr). Guardian Jet engine reserve $1,017/hr. Engines must be on program for resale value.</t>
  </si>
  <si>
    <t xml:space="preserve">APU program</t>
  </si>
  <si>
    <t xml:space="preserve">Maintenance contingency added to airframe, engine and APU costs</t>
  </si>
  <si>
    <t xml:space="preserve">Extra cushion on top of the benchmarks for an out-of-production airframe: AOG parts, corrosion, gear and landing-gear overhauls, inspection overruns. Derek asked for very conservative maintenance budgets.</t>
  </si>
  <si>
    <t xml:space="preserve">Crew travel, landing, handling fees (not rebilled)</t>
  </si>
  <si>
    <t xml:space="preserve">Flycraft range $400-650/hr.</t>
  </si>
  <si>
    <t xml:space="preserve">Fixed operating costs (per owned aircraft, per year)</t>
  </si>
  <si>
    <t xml:space="preserve">Captains per aircraft</t>
  </si>
  <si>
    <t xml:space="preserve">#</t>
  </si>
  <si>
    <t xml:space="preserve">Chief pilot (Henry's partner) is one of the captains.</t>
  </si>
  <si>
    <t xml:space="preserve">Second PIC-rated pilots per aircraft</t>
  </si>
  <si>
    <t xml:space="preserve">Derek: both seats hold full PIC type ratings (NetJets standard). Plus contract pilots for peaks.</t>
  </si>
  <si>
    <t xml:space="preserve">Captain salary</t>
  </si>
  <si>
    <t xml:space="preserve">Midsize Part 135 market. Estimate.</t>
  </si>
  <si>
    <t xml:space="preserve">Second pilot salary (PIC type-rated)</t>
  </si>
  <si>
    <t xml:space="preserve">Higher than a typical first officer because both pilots are PIC-qualified. Estimate.</t>
  </si>
  <si>
    <t xml:space="preserve">Benefits and payroll tax load</t>
  </si>
  <si>
    <t xml:space="preserve">Flycraft used 43% (corporate); charter typically lower.</t>
  </si>
  <si>
    <t xml:space="preserve">Contract pilot budget</t>
  </si>
  <si>
    <t xml:space="preserve">Recurrent training per pilot per year (FlightSafety every 6 months)</t>
  </si>
  <si>
    <t xml:space="preserve">Derek: pilots return to FlightSafety every 6 months at EJM's training rates. Two sessions plus travel per pilot.</t>
  </si>
  <si>
    <t xml:space="preserve">Hangar at home base (KBJC)</t>
  </si>
  <si>
    <t xml:space="preserve">Flycraft range $2,305-5,470/month heated. EJM has hangars; confirm KBJC space. Sheltair now; Jet Aviation FBO 2028.</t>
  </si>
  <si>
    <t xml:space="preserve">Insurance (hull + $100M+ liability, charter use)</t>
  </si>
  <si>
    <t xml:space="preserve">Flycraft: hull 0.15-0.25% of value + liability; charter use adds premium. Get a broker quote.</t>
  </si>
  <si>
    <t xml:space="preserve">EJM management fee (while on EJM's certificate)</t>
  </si>
  <si>
    <t xml:space="preserve">$/month</t>
  </si>
  <si>
    <t xml:space="preserve">Covers EJM's Part 135 certificate, OpSpecs, admin and NetJets compliance. Light jet ~$3K/month to heavy $10K+ (Jet Linx). Get EJM's actual fee.</t>
  </si>
  <si>
    <t xml:space="preserve">EJM commission on charter revenue</t>
  </si>
  <si>
    <t xml:space="preserve">Commonly 10-15% of charter revenue. Confirm whether EJM takes a cut of NetJets trips.</t>
  </si>
  <si>
    <t xml:space="preserve">Other fixed: CAMP tracking, nav data, Wi-Fi plan, software</t>
  </si>
  <si>
    <t xml:space="preserve">Flycraft range $40-60K corporate; charter adds Wi-Fi and scheduling.</t>
  </si>
  <si>
    <t xml:space="preserve">Operating contingency (AOG downtime, inspection overruns, surprises)</t>
  </si>
  <si>
    <t xml:space="preserve">Deliberately conservative (Derek). Sits on top of the maintenance contingency.</t>
  </si>
  <si>
    <t xml:space="preserve">Company G&amp;A before own certificate (incl. investor reporting)</t>
  </si>
  <si>
    <t xml:space="preserve">Accounting, K-1s and investor reporting, legal, owner-level insurance, chief pilot management stipend.</t>
  </si>
  <si>
    <t xml:space="preserve">Annual cost inflation</t>
  </si>
  <si>
    <t xml:space="preserve">Cash reserve to hold (months of fixed cost per aircraft)</t>
  </si>
  <si>
    <t xml:space="preserve">Lenders and management companies usually require an operating reserve.</t>
  </si>
  <si>
    <t xml:space="preserve">Growth: own Part 135 certificate and third-party management</t>
  </si>
  <si>
    <t xml:space="preserve">Delay to own-certificate year set on Fleet Plan</t>
  </si>
  <si>
    <t xml:space="preserve">FAA certification typically 12-24 months after application; downside assumes a one-year slip.</t>
  </si>
  <si>
    <t xml:space="preserve">Certificate startup cost (year before)</t>
  </si>
  <si>
    <t xml:space="preserve">Required staff hired early (Director of Ops, Chief Pilot, Director of Maintenance), manuals, consultants, proving runs.</t>
  </si>
  <si>
    <t xml:space="preserve">Own-certificate overhead (fixed)</t>
  </si>
  <si>
    <t xml:space="preserve">$/yr</t>
  </si>
  <si>
    <t xml:space="preserve">DO, DOM, ops control/dispatch, SMS, ARGUS/Wyvern audits, sales, accounting.</t>
  </si>
  <si>
    <t xml:space="preserve">Own-certificate overhead per aircraft operated</t>
  </si>
  <si>
    <t xml:space="preserve">Net margin per third-party managed aircraft</t>
  </si>
  <si>
    <t xml:space="preserve">Management fee + charter commission minus direct staff cost. Estimate.</t>
  </si>
  <si>
    <t xml:space="preserve">Stop-loss rule (Henry, Oct 2026)</t>
  </si>
  <si>
    <t xml:space="preserve">Mature-year cash flow after debt that blocks buying more jets</t>
  </si>
  <si>
    <t xml:space="preserve">If one jet's mature-year cash flow after debt is worse than this, the model freezes the owned fleet at one jet. If the test fails, Jet #1 is also sold in the stop-loss year (see next line).</t>
  </si>
  <si>
    <t xml:space="preserve">Stop-loss sale year if the test fails</t>
  </si>
  <si>
    <t xml:space="preserve">year</t>
  </si>
  <si>
    <t xml:space="preserve">Henry: sell Jet #1 if trailing-12 cash after debt is worse than the threshold by mid-2029. Sold mid-year.</t>
  </si>
  <si>
    <t xml:space="preserve">Investor structure (GP/LP)</t>
  </si>
  <si>
    <t xml:space="preserve">GP (Henry + Chief Pilot) share of equity contributed</t>
  </si>
  <si>
    <t xml:space="preserve">Henry: no personal capital; investors fund the equity. Sweat equity is rewarded through the promote.</t>
  </si>
  <si>
    <t xml:space="preserve">Investor preferred return (compounding)</t>
  </si>
  <si>
    <t xml:space="preserve">Common in real-asset private placements (6-10%).</t>
  </si>
  <si>
    <t xml:space="preserve">Investor share of profits above the preferred return</t>
  </si>
  <si>
    <t xml:space="preserve">GP promote = the rest (20%). Common 70/30 to 80/20.</t>
  </si>
  <si>
    <t xml:space="preserve">GP acquisition fee (% of aircraft price)</t>
  </si>
  <si>
    <t xml:space="preserve">Paid by the company when each jet closes; covers sourcing and deal work. Common 1-2%.</t>
  </si>
  <si>
    <t xml:space="preserve">Exit and tax</t>
  </si>
  <si>
    <t xml:space="preserve">Exit year</t>
  </si>
  <si>
    <t xml:space="preserve">Henry: grow the fleet over 5-10 years, then exit. 2027-2036 horizon.</t>
  </si>
  <si>
    <t xml:space="preserve">EBITDA multiple on management platform</t>
  </si>
  <si>
    <t xml:space="preserve">x</t>
  </si>
  <si>
    <t xml:space="preserve">Applied to third-party management margin only; owned fleet valued at market. Estimate.</t>
  </si>
  <si>
    <t xml:space="preserve">Fleet selling costs at exit</t>
  </si>
  <si>
    <t xml:space="preserve">Broker commissions, pre-sale inspections.</t>
  </si>
  <si>
    <t xml:space="preserve">Annual decline in aircraft market value</t>
  </si>
  <si>
    <t xml:space="preserve">Estimate; Sovereign+ production ended, so values may soften faster than in-production types.</t>
  </si>
  <si>
    <t xml:space="preserve">Investor ordinary tax rate (illustrative)</t>
  </si>
  <si>
    <t xml:space="preserve">Memo only. Investors can use losses only against passive income unless they materially participate. Consult a CPA.</t>
  </si>
  <si>
    <t xml:space="preserve">Investor capital gains rate incl. 3.8% NIIT (illustrative)</t>
  </si>
  <si>
    <t xml:space="preserve">Applied to platform (goodwill) value at exit.</t>
  </si>
  <si>
    <t xml:space="preserve">First-year bonus depreciation</t>
  </si>
  <si>
    <t xml:space="preserve">2025 law restored 100% bonus depreciation permanently; used aircraft qualify; &gt;50% qualified business use. globalair.com</t>
  </si>
  <si>
    <t xml:space="preserve">Financing scenarios: first aircraft, Live scenario</t>
  </si>
  <si>
    <t xml:space="preserve">How leverage changes cash needed and annual cash flow. Change the LTV row (yellow) to test other structures.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</si>
  <si>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</si>
  <si>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</si>
  <si>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</si>
  <si>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</si>
  <si>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</si>
  <si>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Option 6</t>
  </si>
  <si>
    <t xml:space="preserve">Loan-to-value</t>
  </si>
  <si>
    <t xml:space="preserve">Loan</t>
  </si>
  <si>
    <t xml:space="preserve">Down payment</t>
  </si>
  <si>
    <t xml:space="preserve">Acquisition, onboarding, setup, offering costs, GP fee</t>
  </si>
  <si>
    <t xml:space="preserve">Cash reserve</t>
  </si>
  <si>
    <t xml:space="preserve">Total equity to raise for launch</t>
  </si>
  <si>
    <t xml:space="preserve">Annual debt service</t>
  </si>
  <si>
    <t xml:space="preserve">Monthly loan payment</t>
  </si>
  <si>
    <t xml:space="preserve">Mature-year EBITDA (Unit Economics, Live)</t>
  </si>
  <si>
    <t xml:space="preserve">Debt service coverage (EBITDA / debt service)</t>
  </si>
  <si>
    <t xml:space="preserve">Cash-on-cash return</t>
  </si>
  <si>
    <t xml:space="preserve">Breakeven billable hours incl. debt service</t>
  </si>
  <si>
    <t xml:space="preserve">First-year tax loss from 100% bonus depreciation (approx.)</t>
  </si>
  <si>
    <t xml:space="preserve">Year-1 depreciation per $1 of investor equity</t>
  </si>
  <si>
    <t xml:space="preserve">Lender reality check</t>
  </si>
  <si>
    <t xml:space="preserve">Credit-based jet loans typically need 15-20% down (80-85% LTV); asset-based loans 30-40% down (AOPA via flycraft.com).</t>
  </si>
  <si>
    <t xml:space="preserve">An investor-owned SPV with no wealthy guarantor will usually be underwritten as asset-based: expect 60-70% LTV unless an investor guarantees.</t>
  </si>
  <si>
    <t xml:space="preserve">85-90% leverage usually means a personal guarantee, strong outside liquidity, or a second-lien / seller note on top of the senior loan.</t>
  </si>
  <si>
    <t xml:space="preserve">Higher leverage raises depreciation per equity dollar (attractive to investors) but deepens annual cash losses.</t>
  </si>
  <si>
    <t xml:space="preserve">Cash flow after debt service: billable hours (rows) by LTV (columns)</t>
  </si>
  <si>
    <t xml:space="preserve">Billable hours</t>
  </si>
  <si>
    <t xml:space="preserve">Unit economics: one Sovereign+, mature year, on EJM's Part 135 certificate</t>
  </si>
  <si>
    <t xml:space="preserve">Today's dollars, no inflation. Shows whether a single financed jet carries itself.</t>
  </si>
  <si>
    <t xml:space="preserve">Line item</t>
  </si>
  <si>
    <t xml:space="preserve">Blended rate per billable hour</t>
  </si>
  <si>
    <t xml:space="preserve">Less manager's commission</t>
  </si>
  <si>
    <t xml:space="preserve">Net charter revenue to owner</t>
  </si>
  <si>
    <t xml:space="preserve">Flight hours incl. unpaid positioning</t>
  </si>
  <si>
    <t xml:space="preserve">Variable cost per flight hour</t>
  </si>
  <si>
    <t xml:space="preserve">Variable costs</t>
  </si>
  <si>
    <t xml:space="preserve">Crew salaries and benefits</t>
  </si>
  <si>
    <t xml:space="preserve">Recurrent training</t>
  </si>
  <si>
    <t xml:space="preserve">Hangar</t>
  </si>
  <si>
    <t xml:space="preserve">Insurance</t>
  </si>
  <si>
    <t xml:space="preserve">Management fee</t>
  </si>
  <si>
    <t xml:space="preserve">Other fixed</t>
  </si>
  <si>
    <t xml:space="preserve">Contingency</t>
  </si>
  <si>
    <t xml:space="preserve">Total fixed costs</t>
  </si>
  <si>
    <t xml:space="preserve">EBITDA (operating cash flow before debt)</t>
  </si>
  <si>
    <t xml:space="preserve">EBITDA margin</t>
  </si>
  <si>
    <t xml:space="preserve">Loan amount</t>
  </si>
  <si>
    <t xml:space="preserve">Of which: first-year interest</t>
  </si>
  <si>
    <t xml:space="preserve">First-year decline in aircraft value</t>
  </si>
  <si>
    <t xml:space="preserve">Economic profit (EBITDA - interest - value decline)</t>
  </si>
  <si>
    <t xml:space="preserve">Contribution per billable hour</t>
  </si>
  <si>
    <t xml:space="preserve">Breakeven billable hours (EBITDA = 0)</t>
  </si>
  <si>
    <t xml:space="preserve">NetJets rate needed for EBITDA = 0 at these hours</t>
  </si>
  <si>
    <t xml:space="preserve">NetJets rate needed to cover debt service too</t>
  </si>
  <si>
    <t xml:space="preserve">Cash reserve to hold</t>
  </si>
  <si>
    <t xml:space="preserve">Stop-loss test passed? (1 = may buy more jets)</t>
  </si>
  <si>
    <t xml:space="preserve">Sensitivity: Live scenario, cash flow after debt service by billable hours</t>
  </si>
  <si>
    <t xml:space="preserve">Cash after debt</t>
  </si>
  <si>
    <t xml:space="preserve">Per-hour margin</t>
  </si>
  <si>
    <t xml:space="preserve">Debt and aircraft value schedule: Ownership strategy</t>
  </si>
  <si>
    <t xml:space="preserve">Each owned aircraft gets its own loan at the Live LTV and rate. Payments start in the purchase year (conservative).</t>
  </si>
  <si>
    <t xml:space="preserve">Year</t>
  </si>
  <si>
    <t xml:space="preserve">Aircraft #1</t>
  </si>
  <si>
    <t xml:space="preserve">Purchase year (2037 = not bought)</t>
  </si>
  <si>
    <t xml:space="preserve">Price paid</t>
  </si>
  <si>
    <t xml:space="preserve">Annual payment</t>
  </si>
  <si>
    <t xml:space="preserve">Beginning balance</t>
  </si>
  <si>
    <t xml:space="preserve">Interest</t>
  </si>
  <si>
    <t xml:space="preserve">Payment</t>
  </si>
  <si>
    <t xml:space="preserve">Principal</t>
  </si>
  <si>
    <t xml:space="preserve">Loan payoff at stop-loss sale</t>
  </si>
  <si>
    <t xml:space="preserve">Ending balance</t>
  </si>
  <si>
    <t xml:space="preserve">Market value (year end, while owned)</t>
  </si>
  <si>
    <t xml:space="preserve">Stop-loss sale proceeds (net of selling costs)</t>
  </si>
  <si>
    <t xml:space="preserve">Aircraft #2</t>
  </si>
  <si>
    <t xml:space="preserve">Aircraft #3</t>
  </si>
  <si>
    <t xml:space="preserve">Aircraft #4</t>
  </si>
  <si>
    <t xml:space="preserve">Aircraft #5</t>
  </si>
  <si>
    <t xml:space="preserve">Aircraft #6</t>
  </si>
  <si>
    <t xml:space="preserve">Aircraft #7</t>
  </si>
  <si>
    <t xml:space="preserve">Fleet totals</t>
  </si>
  <si>
    <t xml:space="preserve">Total interest</t>
  </si>
  <si>
    <t xml:space="preserve">Total principal</t>
  </si>
  <si>
    <t xml:space="preserve">Total debt outstanding</t>
  </si>
  <si>
    <t xml:space="preserve">Total fleet market value</t>
  </si>
  <si>
    <t xml:space="preserve">Total loan payoff at stop-loss sale</t>
  </si>
  <si>
    <t xml:space="preserve">Total stop-loss sale proceeds</t>
  </si>
  <si>
    <t xml:space="preserve">10-year forecast: Ownership strategy (Live scenario)</t>
  </si>
  <si>
    <t xml:space="preserve">Annual, nominal dollars. Owned jets fly on EJM's certificate until the own-certificate year.</t>
  </si>
  <si>
    <t xml:space="preserve">Years from 2027</t>
  </si>
  <si>
    <t xml:space="preserve">On EJM's certificate? (1 = yes; stays 1 if stop-loss ends an owned-only plan)</t>
  </si>
  <si>
    <t xml:space="preserve">Cost inflation index</t>
  </si>
  <si>
    <t xml:space="preserve">Fleet and activity</t>
  </si>
  <si>
    <t xml:space="preserve">Owned aircraft (year end)</t>
  </si>
  <si>
    <t xml:space="preserve">Owned aircraft-years in service</t>
  </si>
  <si>
    <t xml:space="preserve">Utilization factor</t>
  </si>
  <si>
    <t xml:space="preserve">Flight hours incl. positioning</t>
  </si>
  <si>
    <t xml:space="preserve">Third-party managed aircraft (year end)</t>
  </si>
  <si>
    <t xml:space="preserve">Third-party managed aircraft (average)</t>
  </si>
  <si>
    <t xml:space="preserve">Revenue</t>
  </si>
  <si>
    <t xml:space="preserve">Overflow / subcontract revenue</t>
  </si>
  <si>
    <t xml:space="preserve">Broker / retail charter revenue</t>
  </si>
  <si>
    <t xml:space="preserve">Third-party management margin (own certificate)</t>
  </si>
  <si>
    <t xml:space="preserve">Total revenue</t>
  </si>
  <si>
    <t xml:space="preserve">Operating costs</t>
  </si>
  <si>
    <t xml:space="preserve">Variable flight costs (fuel, maintenance + contingency, engines, APU, trip)</t>
  </si>
  <si>
    <t xml:space="preserve">Crew salaries, benefits, contract pilots</t>
  </si>
  <si>
    <t xml:space="preserve">Hangar, insurance, other fixed, contingency</t>
  </si>
  <si>
    <t xml:space="preserve">Management fees (on manager's certificate)</t>
  </si>
  <si>
    <t xml:space="preserve">Manager's charter commission</t>
  </si>
  <si>
    <t xml:space="preserve">Company G&amp;A (before own certificate)</t>
  </si>
  <si>
    <t xml:space="preserve">Own-certificate overhead</t>
  </si>
  <si>
    <t xml:space="preserve">Total operating costs</t>
  </si>
  <si>
    <t xml:space="preserve">One-time: own-certificate startup</t>
  </si>
  <si>
    <t xml:space="preserve">Principal repayment</t>
  </si>
  <si>
    <t xml:space="preserve">Stop-loss aircraft sale proceeds</t>
  </si>
  <si>
    <t xml:space="preserve">Cash flow after debt service and any stop-loss sale</t>
  </si>
  <si>
    <t xml:space="preserve">Aircraft purchases and investor equity</t>
  </si>
  <si>
    <t xml:space="preserve">Aircraft purchased</t>
  </si>
  <si>
    <t xml:space="preserve">Price per aircraft</t>
  </si>
  <si>
    <t xml:space="preserve">Aircraft purchases (total price)</t>
  </si>
  <si>
    <t xml:space="preserve">Less: new loans</t>
  </si>
  <si>
    <t xml:space="preserve">Acquisition, onboarding, refurb, training, squawk reserve</t>
  </si>
  <si>
    <t xml:space="preserve">Company setup and investor offering costs</t>
  </si>
  <si>
    <t xml:space="preserve">Equity needed for purchases</t>
  </si>
  <si>
    <t xml:space="preserve">Beginning cash</t>
  </si>
  <si>
    <t xml:space="preserve">Minimum cash reserve</t>
  </si>
  <si>
    <t xml:space="preserve">Equity contributed (investors + GP)</t>
  </si>
  <si>
    <t xml:space="preserve">Ending cash</t>
  </si>
  <si>
    <t xml:space="preserve">Cumulative equity contributed</t>
  </si>
  <si>
    <t xml:space="preserve">Balance sheet view (year end)</t>
  </si>
  <si>
    <t xml:space="preserve">Fleet market value</t>
  </si>
  <si>
    <t xml:space="preserve">Debt outstanding</t>
  </si>
  <si>
    <t xml:space="preserve">Net asset value (fleet + cash - debt)</t>
  </si>
  <si>
    <t xml:space="preserve">Loan-to-value on fleet</t>
  </si>
  <si>
    <t xml:space="preserve">Investor tax memo (passes through on K-1s; consult a CPA)</t>
  </si>
  <si>
    <t xml:space="preserve">Tax depreciation (100% bonus in purchase year)</t>
  </si>
  <si>
    <t xml:space="preserve">Taxable income (loss) allocated to investors</t>
  </si>
  <si>
    <t xml:space="preserve">Tax saved (owed) if investors can use losses as they arise</t>
  </si>
  <si>
    <t xml:space="preserve">Losses are passive for most investors: usable only against other passive income, otherwise carried forward and released at sale. Depreciation is recaptured as ordinary income when jets are sold.</t>
  </si>
  <si>
    <t xml:space="preserve">Exit and investor waterfall</t>
  </si>
  <si>
    <t xml:space="preserve">Less selling costs</t>
  </si>
  <si>
    <t xml:space="preserve">Third-party management margin in exit year</t>
  </si>
  <si>
    <t xml:space="preserve">Platform value (margin x multiple)</t>
  </si>
  <si>
    <t xml:space="preserve">Enterprise value</t>
  </si>
  <si>
    <t xml:space="preserve">Less debt outstanding</t>
  </si>
  <si>
    <t xml:space="preserve">Plus cash on hand</t>
  </si>
  <si>
    <t xml:space="preserve">Net exit proceeds (before investor taxes)</t>
  </si>
  <si>
    <t xml:space="preserve">Total equity contributed through exit</t>
  </si>
  <si>
    <t xml:space="preserve">Accrued preferred return</t>
  </si>
  <si>
    <t xml:space="preserve">Tier 1: return of capital</t>
  </si>
  <si>
    <t xml:space="preserve">Tier 2: preferred return</t>
  </si>
  <si>
    <t xml:space="preserve">Tier 3: remaining profit to split</t>
  </si>
  <si>
    <t xml:space="preserve">Investors (LPs) receive</t>
  </si>
  <si>
    <t xml:space="preserve">GP (Henry + Chief Pilot) receives: promote + co-invest share</t>
  </si>
  <si>
    <t xml:space="preserve">GP acquisition fees earned through exit</t>
  </si>
  <si>
    <t xml:space="preserve">Investor multiple on capital (MOIC)</t>
  </si>
  <si>
    <t xml:space="preserve">Investor IRR (pre-tax)</t>
  </si>
  <si>
    <t xml:space="preserve">Investor IRR after tax, if losses usable as they arise</t>
  </si>
  <si>
    <t xml:space="preserve">Investor after-tax multiple, if losses usable (tax savings counted as cash)</t>
  </si>
  <si>
    <t xml:space="preserve">Project IRR, all equity before promote (pre-tax)</t>
  </si>
  <si>
    <t xml:space="preserve">Peak cumulative equity raised</t>
  </si>
  <si>
    <t xml:space="preserve">Investor tax at exit (recapture + capital gains), illustrative</t>
  </si>
  <si>
    <t xml:space="preserve">Cash flows for IRR</t>
  </si>
  <si>
    <t xml:space="preserve">Exit year flag</t>
  </si>
  <si>
    <t xml:space="preserve">All equity: contributions (-) and exit proceeds (+)</t>
  </si>
  <si>
    <t xml:space="preserve">Investors (LPs), pre-tax</t>
  </si>
  <si>
    <t xml:space="preserve">Investors (LPs), after tax if losses usable</t>
  </si>
  <si>
    <t xml:space="preserve">Debt and aircraft value schedule: Management-led strategy</t>
  </si>
  <si>
    <t xml:space="preserve">10-year forecast: Management-led strategy (Live scenario)</t>
  </si>
  <si>
    <t xml:space="preserve">Debt and aircraft value schedule: Hybrid strategy</t>
  </si>
  <si>
    <t xml:space="preserve">10-year forecast: Hybrid strategy (Live scenario)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</si>
</sst>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0.0\x"/>
    <numFmt numFmtId="168" formatCode="0.0%;\(0.0%\);\-"/>
    <numFmt numFmtId="169" formatCode="0"/>
    <numFmt numFmtId="170" formatCode="\$#,##0.00"/>
    <numFmt numFmtId="171" formatCode="0.000"/>
    <numFmt numFmtId="172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5" min="3" style="0" width="17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tr">
        <f aca="false">"Scenario shown: "&amp;Assumptions!$D$3</f>
        <v>Scenario shown: Base</v>
      </c>
    </row>
    <row r="5" customFormat="false" ht="15" hidden="false" customHeight="false" outlineLevel="0" collapsed="false">
      <c r="A5" s="4" t="s">
        <v>2</v>
      </c>
      <c r="B5" s="5"/>
      <c r="C5" s="5" t="s">
        <v>3</v>
      </c>
      <c r="D5" s="5"/>
      <c r="E5" s="5"/>
      <c r="F5" s="5" t="s">
        <v>4</v>
      </c>
    </row>
    <row r="6" customFormat="false" ht="15" hidden="false" customHeight="false" outlineLevel="0" collapsed="false">
      <c r="A6" s="6" t="s">
        <v>5</v>
      </c>
      <c r="C6" s="7" t="n">
        <f aca="false">Assumptions!$F$7</f>
        <v>11500000</v>
      </c>
      <c r="F6" s="2"/>
    </row>
    <row r="7" customFormat="false" ht="15" hidden="false" customHeight="false" outlineLevel="0" collapsed="false">
      <c r="A7" s="6" t="s">
        <v>6</v>
      </c>
      <c r="C7" s="7" t="n">
        <f aca="false">'Startup Budget'!C20+'Startup Budget'!C21</f>
        <v>4200500</v>
      </c>
      <c r="F7" s="2" t="s">
        <v>7</v>
      </c>
    </row>
    <row r="8" customFormat="false" ht="15" hidden="false" customHeight="false" outlineLevel="0" collapsed="false">
      <c r="A8" s="6" t="s">
        <v>8</v>
      </c>
      <c r="C8" s="7" t="n">
        <f aca="false">'Startup Budget'!C19</f>
        <v>9200000</v>
      </c>
      <c r="F8" s="2"/>
    </row>
    <row r="9" customFormat="false" ht="15" hidden="false" customHeight="false" outlineLevel="0" collapsed="false">
      <c r="A9" s="6" t="s">
        <v>9</v>
      </c>
      <c r="C9" s="7" t="n">
        <f aca="false">'Unit Economics'!F25</f>
        <v>-1050830</v>
      </c>
      <c r="F9" s="2" t="s">
        <v>10</v>
      </c>
    </row>
    <row r="10" customFormat="false" ht="15" hidden="false" customHeight="false" outlineLevel="0" collapsed="false">
      <c r="A10" s="6" t="s">
        <v>11</v>
      </c>
      <c r="C10" s="7" t="n">
        <f aca="false">-'Unit Economics'!F29</f>
        <v>1026118.78797498</v>
      </c>
      <c r="F10" s="2"/>
    </row>
    <row r="11" customFormat="false" ht="15" hidden="false" customHeight="false" outlineLevel="0" collapsed="false">
      <c r="A11" s="6" t="s">
        <v>12</v>
      </c>
      <c r="C11" s="7" t="n">
        <f aca="false">'Unit Economics'!F30</f>
        <v>-2076948.78797498</v>
      </c>
      <c r="F11" s="2" t="s">
        <v>13</v>
      </c>
    </row>
    <row r="12" customFormat="false" ht="15" hidden="false" customHeight="false" outlineLevel="0" collapsed="false">
      <c r="A12" s="6" t="s">
        <v>14</v>
      </c>
      <c r="C12" s="8" t="n">
        <f aca="false">'Unit Economics'!F36</f>
        <v>2303.26606694222</v>
      </c>
      <c r="F12" s="2"/>
    </row>
    <row r="13" customFormat="false" ht="15" hidden="false" customHeight="false" outlineLevel="0" collapsed="false">
      <c r="A13" s="6" t="s">
        <v>15</v>
      </c>
      <c r="C13" s="8" t="n">
        <f aca="false">'Unit Economics'!F37</f>
        <v>3966.47830128047</v>
      </c>
      <c r="F13" s="2" t="s">
        <v>16</v>
      </c>
    </row>
    <row r="14" customFormat="false" ht="15" hidden="false" customHeight="false" outlineLevel="0" collapsed="false">
      <c r="A14" s="6" t="s">
        <v>17</v>
      </c>
      <c r="C14" s="7" t="n">
        <f aca="false">'Unit Economics'!F38</f>
        <v>8798.40155945419</v>
      </c>
      <c r="F14" s="2" t="s">
        <v>18</v>
      </c>
    </row>
    <row r="15" customFormat="false" ht="15" hidden="false" customHeight="false" outlineLevel="0" collapsed="false">
      <c r="A15" s="6" t="s">
        <v>19</v>
      </c>
      <c r="C15" s="7" t="n">
        <f aca="false">'Unit Economics'!F39</f>
        <v>10798.633114961</v>
      </c>
      <c r="F15" s="2" t="s">
        <v>20</v>
      </c>
    </row>
    <row r="16" customFormat="false" ht="15" hidden="false" customHeight="false" outlineLevel="0" collapsed="false">
      <c r="A16" s="6" t="s">
        <v>21</v>
      </c>
      <c r="C16" s="8" t="n">
        <f aca="false">'Unit Economics'!F41</f>
        <v>0</v>
      </c>
      <c r="F16" s="2" t="s">
        <v>22</v>
      </c>
    </row>
    <row r="18" customFormat="false" ht="15" hidden="false" customHeight="false" outlineLevel="0" collapsed="false">
      <c r="A18" s="4" t="s">
        <v>23</v>
      </c>
      <c r="B18" s="5"/>
      <c r="C18" s="5" t="s">
        <v>24</v>
      </c>
      <c r="D18" s="5" t="s">
        <v>25</v>
      </c>
      <c r="E18" s="5" t="s">
        <v>26</v>
      </c>
      <c r="F18" s="5" t="s">
        <v>27</v>
      </c>
    </row>
    <row r="19" customFormat="false" ht="15" hidden="false" customHeight="false" outlineLevel="0" collapsed="false">
      <c r="A19" s="6" t="s">
        <v>28</v>
      </c>
      <c r="C19" s="8" t="n">
        <f aca="false">INDEX('Forecast Own'!$C$11:$L$11,MATCH(Assumptions!$F$71,'Forecast Own'!$C$5:$L$5,0))</f>
        <v>0</v>
      </c>
      <c r="D19" s="8" t="n">
        <f aca="false">INDEX('Forecast Mgmt'!$C$11:$L$11,MATCH(Assumptions!$F$71,'Forecast Mgmt'!$C$5:$L$5,0))</f>
        <v>0</v>
      </c>
      <c r="E19" s="8" t="n">
        <f aca="false">INDEX('Forecast Hybrid'!$C$11:$L$11,MATCH(Assumptions!$F$71,'Forecast Hybrid'!$C$5:$L$5,0))</f>
        <v>0</v>
      </c>
      <c r="F19" s="2"/>
    </row>
    <row r="20" customFormat="false" ht="15" hidden="false" customHeight="false" outlineLevel="0" collapsed="false">
      <c r="A20" s="6" t="s">
        <v>29</v>
      </c>
      <c r="C20" s="8" t="n">
        <f aca="false">INDEX('Forecast Own'!$C$16:$L$16,MATCH(Assumptions!$F$71,'Forecast Own'!$C$5:$L$5,0))</f>
        <v>0</v>
      </c>
      <c r="D20" s="8" t="n">
        <f aca="false">INDEX('Forecast Mgmt'!$C$16:$L$16,MATCH(Assumptions!$F$71,'Forecast Mgmt'!$C$5:$L$5,0))</f>
        <v>18</v>
      </c>
      <c r="E20" s="8" t="n">
        <f aca="false">INDEX('Forecast Hybrid'!$C$16:$L$16,MATCH(Assumptions!$F$71,'Forecast Hybrid'!$C$5:$L$5,0))</f>
        <v>12</v>
      </c>
      <c r="F20" s="2"/>
    </row>
    <row r="21" customFormat="false" ht="15" hidden="false" customHeight="false" outlineLevel="0" collapsed="false">
      <c r="A21" s="6" t="s">
        <v>30</v>
      </c>
      <c r="C21" s="7" t="n">
        <f aca="false">INDEX('Forecast Own'!$C$23:$L$23,MATCH(Assumptions!$F$71,'Forecast Own'!$C$5:$L$5,0))</f>
        <v>0</v>
      </c>
      <c r="D21" s="7" t="n">
        <f aca="false">INDEX('Forecast Mgmt'!$C$23:$L$23,MATCH(Assumptions!$F$71,'Forecast Mgmt'!$C$5:$L$5,0))</f>
        <v>4305751.50663651</v>
      </c>
      <c r="E21" s="7" t="n">
        <f aca="false">INDEX('Forecast Hybrid'!$C$23:$L$23,MATCH(Assumptions!$F$71,'Forecast Hybrid'!$C$5:$L$5,0))</f>
        <v>3000978.32280726</v>
      </c>
      <c r="F21" s="2"/>
    </row>
    <row r="22" customFormat="false" ht="15" hidden="false" customHeight="false" outlineLevel="0" collapsed="false">
      <c r="A22" s="6" t="s">
        <v>31</v>
      </c>
      <c r="C22" s="7" t="n">
        <f aca="false">INDEX('Forecast Own'!$C$36:$L$36,MATCH(Assumptions!$F$71,'Forecast Own'!$C$5:$L$5,0))</f>
        <v>0</v>
      </c>
      <c r="D22" s="7" t="n">
        <f aca="false">INDEX('Forecast Mgmt'!$C$36:$L$36,MATCH(Assumptions!$F$71,'Forecast Mgmt'!$C$5:$L$5,0))</f>
        <v>2120256.42372252</v>
      </c>
      <c r="E22" s="7" t="n">
        <f aca="false">INDEX('Forecast Hybrid'!$C$36:$L$36,MATCH(Assumptions!$F$71,'Forecast Hybrid'!$C$5:$L$5,0))</f>
        <v>1141676.53585059</v>
      </c>
      <c r="F22" s="2"/>
    </row>
    <row r="23" customFormat="false" ht="15" hidden="false" customHeight="false" outlineLevel="0" collapsed="false">
      <c r="A23" s="6" t="s">
        <v>32</v>
      </c>
      <c r="C23" s="7" t="n">
        <f aca="false">INDEX('Forecast Own'!$C$63:$L$63,MATCH(Assumptions!$F$71,'Forecast Own'!$C$5:$L$5,0))</f>
        <v>0</v>
      </c>
      <c r="D23" s="7" t="n">
        <f aca="false">INDEX('Forecast Mgmt'!$C$63:$L$63,MATCH(Assumptions!$F$71,'Forecast Mgmt'!$C$5:$L$5,0))</f>
        <v>0</v>
      </c>
      <c r="E23" s="7" t="n">
        <f aca="false">INDEX('Forecast Hybrid'!$C$63:$L$63,MATCH(Assumptions!$F$71,'Forecast Hybrid'!$C$5:$L$5,0))</f>
        <v>0</v>
      </c>
      <c r="F23" s="2"/>
    </row>
    <row r="24" customFormat="false" ht="15" hidden="false" customHeight="false" outlineLevel="0" collapsed="false">
      <c r="A24" s="6" t="s">
        <v>33</v>
      </c>
      <c r="C24" s="7" t="n">
        <f aca="false">'Forecast Own'!$C$96</f>
        <v>8043983.98594997</v>
      </c>
      <c r="D24" s="7" t="n">
        <f aca="false">'Forecast Mgmt'!$C$96</f>
        <v>8043983.98594997</v>
      </c>
      <c r="E24" s="7" t="n">
        <f aca="false">'Forecast Hybrid'!$C$96</f>
        <v>8043983.98594997</v>
      </c>
      <c r="F24" s="2" t="s">
        <v>34</v>
      </c>
    </row>
    <row r="25" customFormat="false" ht="15" hidden="false" customHeight="false" outlineLevel="0" collapsed="false">
      <c r="A25" s="6" t="s">
        <v>35</v>
      </c>
      <c r="C25" s="7" t="n">
        <f aca="false">'Forecast Own'!$C$82</f>
        <v>4130251.72118128</v>
      </c>
      <c r="D25" s="7" t="n">
        <f aca="false">'Forecast Mgmt'!$C$82</f>
        <v>33112455.1329018</v>
      </c>
      <c r="E25" s="7" t="n">
        <f aca="false">'Forecast Hybrid'!$C$82</f>
        <v>22485645.4254276</v>
      </c>
      <c r="F25" s="2" t="s">
        <v>36</v>
      </c>
    </row>
    <row r="26" customFormat="false" ht="15" hidden="false" customHeight="false" outlineLevel="0" collapsed="false">
      <c r="A26" s="6" t="s">
        <v>37</v>
      </c>
      <c r="C26" s="7" t="n">
        <f aca="false">'Forecast Own'!$C$88</f>
        <v>4130251.72118128</v>
      </c>
      <c r="D26" s="7" t="n">
        <f aca="false">'Forecast Mgmt'!$C$88</f>
        <v>29641753.762628</v>
      </c>
      <c r="E26" s="7" t="n">
        <f aca="false">'Forecast Hybrid'!$C$88</f>
        <v>21140305.9966486</v>
      </c>
      <c r="F26" s="2" t="s">
        <v>38</v>
      </c>
    </row>
    <row r="27" customFormat="false" ht="15" hidden="false" customHeight="false" outlineLevel="0" collapsed="false">
      <c r="A27" s="6" t="s">
        <v>39</v>
      </c>
      <c r="C27" s="9" t="n">
        <f aca="false">'Forecast Own'!$C$91</f>
        <v>0.51345847137381</v>
      </c>
      <c r="D27" s="9" t="n">
        <f aca="false">'Forecast Mgmt'!$C$91</f>
        <v>3.68495932045635</v>
      </c>
      <c r="E27" s="9" t="n">
        <f aca="false">'Forecast Hybrid'!$C$91</f>
        <v>2.62808902076052</v>
      </c>
      <c r="F27" s="2"/>
    </row>
    <row r="28" customFormat="false" ht="15" hidden="false" customHeight="false" outlineLevel="0" collapsed="false">
      <c r="A28" s="6" t="s">
        <v>40</v>
      </c>
      <c r="C28" s="10" t="n">
        <f aca="false">'Forecast Own'!$C$92</f>
        <v>-0.0735712183663742</v>
      </c>
      <c r="D28" s="10" t="n">
        <f aca="false">'Forecast Mgmt'!$C$92</f>
        <v>0.160842812193831</v>
      </c>
      <c r="E28" s="10" t="n">
        <f aca="false">'Forecast Hybrid'!$C$92</f>
        <v>0.116881813627886</v>
      </c>
      <c r="F28" s="2"/>
    </row>
    <row r="29" customFormat="false" ht="15" hidden="false" customHeight="false" outlineLevel="0" collapsed="false">
      <c r="A29" s="6" t="s">
        <v>41</v>
      </c>
      <c r="C29" s="9" t="n">
        <f aca="false">'Forecast Own'!$C$94</f>
        <v>0.272966606221604</v>
      </c>
      <c r="D29" s="9" t="n">
        <f aca="false">'Forecast Mgmt'!$C$94</f>
        <v>2.53530850100312</v>
      </c>
      <c r="E29" s="9" t="n">
        <f aca="false">'Forecast Hybrid'!$C$94</f>
        <v>1.83877447686868</v>
      </c>
      <c r="F29" s="2" t="s">
        <v>42</v>
      </c>
    </row>
    <row r="30" customFormat="false" ht="15" hidden="false" customHeight="false" outlineLevel="0" collapsed="false">
      <c r="A30" s="6" t="s">
        <v>43</v>
      </c>
      <c r="C30" s="10" t="n">
        <f aca="false">'Forecast Own'!$C$93</f>
        <v>-0.113293064951447</v>
      </c>
      <c r="D30" s="10" t="n">
        <f aca="false">'Forecast Mgmt'!$C$93</f>
        <v>0.11771437933725</v>
      </c>
      <c r="E30" s="10" t="n">
        <f aca="false">'Forecast Hybrid'!$C$93</f>
        <v>0.075452858878631</v>
      </c>
      <c r="F30" s="2" t="s">
        <v>44</v>
      </c>
    </row>
    <row r="31" customFormat="false" ht="15" hidden="false" customHeight="false" outlineLevel="0" collapsed="false">
      <c r="A31" s="6" t="s">
        <v>45</v>
      </c>
      <c r="C31" s="7" t="n">
        <f aca="false">'Forecast Own'!$C$89</f>
        <v>0</v>
      </c>
      <c r="D31" s="7" t="n">
        <f aca="false">'Forecast Mgmt'!$C$89</f>
        <v>3470701.37027383</v>
      </c>
      <c r="E31" s="7" t="n">
        <f aca="false">'Forecast Hybrid'!$C$89</f>
        <v>1345339.42877898</v>
      </c>
      <c r="F31" s="2" t="s">
        <v>46</v>
      </c>
    </row>
    <row r="32" customFormat="false" ht="15" hidden="false" customHeight="false" outlineLevel="0" collapsed="false">
      <c r="A32" s="6" t="s">
        <v>47</v>
      </c>
      <c r="C32" s="7" t="n">
        <f aca="false">'Forecast Own'!$C$90</f>
        <v>0</v>
      </c>
      <c r="D32" s="7" t="n">
        <f aca="false">'Forecast Mgmt'!$C$90</f>
        <v>0</v>
      </c>
      <c r="E32" s="7" t="n">
        <f aca="false">'Forecast Hybrid'!$C$90</f>
        <v>0</v>
      </c>
      <c r="F32" s="2"/>
    </row>
    <row r="34" customFormat="false" ht="15" hidden="false" customHeight="false" outlineLevel="0" collapsed="false">
      <c r="A34" s="11" t="s">
        <v>48</v>
      </c>
    </row>
    <row r="35" customFormat="false" ht="15" hidden="false" customHeight="false" outlineLevel="0" collapsed="false">
      <c r="A35" s="12" t="s">
        <v>49</v>
      </c>
    </row>
    <row r="36" customFormat="false" ht="15" hidden="false" customHeight="false" outlineLevel="0" collapsed="false">
      <c r="A36" s="6" t="s">
        <v>50</v>
      </c>
    </row>
    <row r="37" customFormat="false" ht="15" hidden="false" customHeight="false" outlineLevel="0" collapsed="false">
      <c r="A37" s="3" t="s">
        <v>51</v>
      </c>
    </row>
    <row r="38" customFormat="false" ht="15" hidden="false" customHeight="false" outlineLevel="0" collapsed="false">
      <c r="A38" s="13" t="s">
        <v>52</v>
      </c>
    </row>
    <row r="39" customFormat="false" ht="15" hidden="false" customHeight="false" outlineLevel="0" collapsed="false">
      <c r="A39" s="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4" t="s">
        <v>56</v>
      </c>
      <c r="B4" s="5"/>
      <c r="C4" s="5" t="s">
        <v>57</v>
      </c>
      <c r="D4" s="5" t="s">
        <v>27</v>
      </c>
    </row>
    <row r="5" customFormat="false" ht="15" hidden="false" customHeight="false" outlineLevel="0" collapsed="false">
      <c r="A5" s="6" t="s">
        <v>58</v>
      </c>
      <c r="C5" s="14" t="n">
        <f aca="false">Assumptions!$F$7</f>
        <v>11500000</v>
      </c>
      <c r="D5" s="2" t="s">
        <v>59</v>
      </c>
    </row>
    <row r="6" customFormat="false" ht="15" hidden="false" customHeight="false" outlineLevel="0" collapsed="false">
      <c r="A6" s="6" t="s">
        <v>60</v>
      </c>
      <c r="C6" s="14" t="n">
        <f aca="false">Assumptions!$F$9</f>
        <v>75000</v>
      </c>
      <c r="D6" s="2"/>
    </row>
    <row r="7" customFormat="false" ht="15" hidden="false" customHeight="false" outlineLevel="0" collapsed="false">
      <c r="A7" s="6" t="s">
        <v>61</v>
      </c>
      <c r="C7" s="14" t="n">
        <f aca="false">Assumptions!$F$10</f>
        <v>50000</v>
      </c>
      <c r="D7" s="2"/>
    </row>
    <row r="8" customFormat="false" ht="15" hidden="false" customHeight="false" outlineLevel="0" collapsed="false">
      <c r="A8" s="6" t="s">
        <v>62</v>
      </c>
      <c r="C8" s="14" t="n">
        <f aca="false">Assumptions!$F$11</f>
        <v>150000</v>
      </c>
      <c r="D8" s="2"/>
    </row>
    <row r="9" customFormat="false" ht="15" hidden="false" customHeight="false" outlineLevel="0" collapsed="false">
      <c r="A9" s="6" t="s">
        <v>63</v>
      </c>
      <c r="C9" s="14" t="n">
        <f aca="false">Assumptions!$F$12</f>
        <v>250000</v>
      </c>
      <c r="D9" s="2"/>
    </row>
    <row r="10" customFormat="false" ht="15" hidden="false" customHeight="false" outlineLevel="0" collapsed="false">
      <c r="A10" s="6" t="s">
        <v>64</v>
      </c>
      <c r="C10" s="14" t="n">
        <f aca="false">Assumptions!$F$13</f>
        <v>75000</v>
      </c>
      <c r="D10" s="2"/>
    </row>
    <row r="11" customFormat="false" ht="15" hidden="false" customHeight="false" outlineLevel="0" collapsed="false">
      <c r="A11" s="6" t="s">
        <v>65</v>
      </c>
      <c r="C11" s="14" t="n">
        <f aca="false">Assumptions!$F$14</f>
        <v>350000</v>
      </c>
      <c r="D11" s="2" t="s">
        <v>66</v>
      </c>
    </row>
    <row r="12" customFormat="false" ht="15" hidden="false" customHeight="false" outlineLevel="0" collapsed="false">
      <c r="A12" s="6" t="s">
        <v>67</v>
      </c>
      <c r="C12" s="14" t="n">
        <f aca="false">Assumptions!$F$15</f>
        <v>50000</v>
      </c>
      <c r="D12" s="2"/>
    </row>
    <row r="13" customFormat="false" ht="15" hidden="false" customHeight="false" outlineLevel="0" collapsed="false">
      <c r="A13" s="6" t="s">
        <v>68</v>
      </c>
      <c r="C13" s="14" t="n">
        <f aca="false">Assumptions!$F$16</f>
        <v>75000</v>
      </c>
      <c r="D13" s="2"/>
    </row>
    <row r="14" customFormat="false" ht="15" hidden="false" customHeight="false" outlineLevel="0" collapsed="false">
      <c r="A14" s="6" t="s">
        <v>69</v>
      </c>
      <c r="C14" s="14" t="n">
        <f aca="false">Assumptions!$F$7*Assumptions!$F$69</f>
        <v>115000</v>
      </c>
      <c r="D14" s="2" t="s">
        <v>70</v>
      </c>
    </row>
    <row r="15" customFormat="false" ht="15" hidden="false" customHeight="false" outlineLevel="0" collapsed="false">
      <c r="A15" s="6" t="s">
        <v>71</v>
      </c>
      <c r="C15" s="14" t="n">
        <f aca="false">'Unit Economics'!$F$40</f>
        <v>710500</v>
      </c>
      <c r="D15" s="2" t="s">
        <v>72</v>
      </c>
    </row>
    <row r="16" customFormat="false" ht="15" hidden="false" customHeight="false" outlineLevel="0" collapsed="false">
      <c r="A16" s="11" t="s">
        <v>73</v>
      </c>
      <c r="C16" s="15" t="n">
        <f aca="false">SUM(C5:C15)</f>
        <v>13400500</v>
      </c>
    </row>
    <row r="18" customFormat="false" ht="15" hidden="false" customHeight="false" outlineLevel="0" collapsed="false">
      <c r="A18" s="4" t="s">
        <v>74</v>
      </c>
      <c r="B18" s="5"/>
      <c r="C18" s="5" t="s">
        <v>57</v>
      </c>
      <c r="D18" s="5" t="s">
        <v>27</v>
      </c>
    </row>
    <row r="19" customFormat="false" ht="15" hidden="false" customHeight="false" outlineLevel="0" collapsed="false">
      <c r="A19" s="6" t="s">
        <v>8</v>
      </c>
      <c r="C19" s="14" t="n">
        <f aca="false">Assumptions!$F$7*Assumptions!$F$18</f>
        <v>9200000</v>
      </c>
      <c r="D19" s="2" t="s">
        <v>75</v>
      </c>
    </row>
    <row r="20" customFormat="false" ht="15" hidden="false" customHeight="false" outlineLevel="0" collapsed="false">
      <c r="A20" s="6" t="s">
        <v>76</v>
      </c>
      <c r="C20" s="14" t="n">
        <f aca="false">(C16-C19)*(1-Assumptions!$F$66)</f>
        <v>4200500</v>
      </c>
    </row>
    <row r="21" customFormat="false" ht="15" hidden="false" customHeight="false" outlineLevel="0" collapsed="false">
      <c r="A21" s="6" t="s">
        <v>77</v>
      </c>
      <c r="C21" s="14" t="n">
        <f aca="false">(C16-C19)*Assumptions!$F$66</f>
        <v>0</v>
      </c>
    </row>
    <row r="22" customFormat="false" ht="15" hidden="false" customHeight="false" outlineLevel="0" collapsed="false">
      <c r="A22" s="11" t="s">
        <v>78</v>
      </c>
      <c r="C22" s="15" t="n">
        <f aca="false">C19+C20+C21</f>
        <v>13400500</v>
      </c>
    </row>
    <row r="24" customFormat="false" ht="15" hidden="false" customHeight="false" outlineLevel="0" collapsed="false">
      <c r="A24" s="6" t="s">
        <v>79</v>
      </c>
      <c r="C24" s="16" t="n">
        <f aca="false">(C20+C21)/C16</f>
        <v>0.313458453042797</v>
      </c>
    </row>
    <row r="26" customFormat="false" ht="15" hidden="false" customHeight="false" outlineLevel="0" collapsed="false">
      <c r="A26" s="4" t="s">
        <v>80</v>
      </c>
      <c r="B26" s="5"/>
      <c r="C26" s="5" t="s">
        <v>57</v>
      </c>
      <c r="D26" s="5" t="s">
        <v>27</v>
      </c>
    </row>
    <row r="27" customFormat="false" ht="15" hidden="false" customHeight="false" outlineLevel="0" collapsed="false">
      <c r="A27" s="6" t="s">
        <v>81</v>
      </c>
      <c r="C27" s="14" t="n">
        <f aca="false">'Forecast Hybrid'!D20+'Forecast Hybrid'!D21</f>
        <v>3789112.5</v>
      </c>
      <c r="D27" s="2" t="s">
        <v>82</v>
      </c>
    </row>
    <row r="28" customFormat="false" ht="15" hidden="false" customHeight="false" outlineLevel="0" collapsed="false">
      <c r="A28" s="6" t="s">
        <v>83</v>
      </c>
      <c r="C28" s="14" t="n">
        <f aca="false">-'Forecast Hybrid'!D26</f>
        <v>-3067053.66</v>
      </c>
      <c r="D28" s="2"/>
    </row>
    <row r="29" customFormat="false" ht="15" hidden="false" customHeight="false" outlineLevel="0" collapsed="false">
      <c r="A29" s="6" t="s">
        <v>84</v>
      </c>
      <c r="C29" s="14" t="n">
        <f aca="false">-'Forecast Hybrid'!D27</f>
        <v>-705550</v>
      </c>
      <c r="D29" s="2"/>
    </row>
    <row r="30" customFormat="false" ht="15" hidden="false" customHeight="false" outlineLevel="0" collapsed="false">
      <c r="A30" s="6" t="s">
        <v>85</v>
      </c>
      <c r="C30" s="14" t="n">
        <f aca="false">-'Forecast Hybrid'!D28</f>
        <v>-139050</v>
      </c>
      <c r="D30" s="2"/>
    </row>
    <row r="31" customFormat="false" ht="15" hidden="false" customHeight="false" outlineLevel="0" collapsed="false">
      <c r="A31" s="6" t="s">
        <v>86</v>
      </c>
      <c r="C31" s="14" t="n">
        <f aca="false">-'Forecast Hybrid'!D29</f>
        <v>-392430</v>
      </c>
      <c r="D31" s="2"/>
    </row>
    <row r="32" customFormat="false" ht="15" hidden="false" customHeight="false" outlineLevel="0" collapsed="false">
      <c r="A32" s="6" t="s">
        <v>87</v>
      </c>
      <c r="C32" s="14" t="n">
        <f aca="false">-'Forecast Hybrid'!D30</f>
        <v>-123600</v>
      </c>
      <c r="D32" s="2"/>
    </row>
    <row r="33" customFormat="false" ht="15" hidden="false" customHeight="false" outlineLevel="0" collapsed="false">
      <c r="A33" s="6" t="s">
        <v>88</v>
      </c>
      <c r="C33" s="14" t="n">
        <f aca="false">-'Forecast Hybrid'!D31</f>
        <v>-378911.25</v>
      </c>
      <c r="D33" s="2"/>
    </row>
    <row r="34" customFormat="false" ht="15" hidden="false" customHeight="false" outlineLevel="0" collapsed="false">
      <c r="A34" s="6" t="s">
        <v>89</v>
      </c>
      <c r="C34" s="14" t="n">
        <f aca="false">-'Forecast Hybrid'!D32</f>
        <v>-103000</v>
      </c>
      <c r="D34" s="2"/>
    </row>
    <row r="35" customFormat="false" ht="15" hidden="false" customHeight="false" outlineLevel="0" collapsed="false">
      <c r="A35" s="11" t="s">
        <v>90</v>
      </c>
      <c r="C35" s="7" t="n">
        <f aca="false">'Forecast Hybrid'!D36</f>
        <v>-1120482.41</v>
      </c>
      <c r="D35" s="2"/>
    </row>
    <row r="36" customFormat="false" ht="15" hidden="false" customHeight="false" outlineLevel="0" collapsed="false">
      <c r="A36" s="6" t="s">
        <v>91</v>
      </c>
      <c r="C36" s="14" t="n">
        <f aca="false">-('Forecast Hybrid'!D39+'Forecast Hybrid'!D40)</f>
        <v>-1026118.78797498</v>
      </c>
      <c r="D36" s="2"/>
    </row>
    <row r="37" customFormat="false" ht="15" hidden="false" customHeight="false" outlineLevel="0" collapsed="false">
      <c r="A37" s="11" t="s">
        <v>92</v>
      </c>
      <c r="C37" s="7" t="n">
        <f aca="false">'Forecast Hybrid'!D43</f>
        <v>-2146601.19797498</v>
      </c>
      <c r="D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12" min="3" style="0" width="10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4" t="s">
        <v>95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7" t="s">
        <v>107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</row>
    <row r="6" customFormat="false" ht="15" hidden="false" customHeight="false" outlineLevel="0" collapsed="false">
      <c r="A6" s="6" t="s">
        <v>108</v>
      </c>
      <c r="B6" s="19" t="n">
        <v>2030</v>
      </c>
      <c r="C6" s="20" t="n">
        <v>1</v>
      </c>
      <c r="D6" s="20" t="n">
        <v>1</v>
      </c>
      <c r="E6" s="20" t="n">
        <v>2</v>
      </c>
      <c r="F6" s="20" t="n">
        <v>2</v>
      </c>
      <c r="G6" s="20" t="n">
        <v>3</v>
      </c>
      <c r="H6" s="20" t="n">
        <v>3</v>
      </c>
      <c r="I6" s="20" t="n">
        <v>4</v>
      </c>
      <c r="J6" s="20" t="n">
        <v>4</v>
      </c>
      <c r="K6" s="20" t="n">
        <v>5</v>
      </c>
      <c r="L6" s="20" t="n">
        <v>5</v>
      </c>
    </row>
    <row r="7" customFormat="false" ht="15" hidden="false" customHeight="false" outlineLevel="0" collapsed="false">
      <c r="A7" s="6" t="s">
        <v>109</v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0</v>
      </c>
      <c r="K7" s="20" t="n">
        <v>0</v>
      </c>
      <c r="L7" s="20" t="n">
        <v>0</v>
      </c>
    </row>
    <row r="8" customFormat="false" ht="15" hidden="false" customHeight="false" outlineLevel="0" collapsed="false">
      <c r="A8" s="6" t="s">
        <v>110</v>
      </c>
      <c r="C8" s="21" t="n">
        <f aca="false">IF('Unit Economics'!$F$41=1,C6,MIN(C6,1))</f>
        <v>1</v>
      </c>
      <c r="D8" s="21" t="n">
        <f aca="false">IF('Unit Economics'!$F$41=1,D6,MIN(D6,1))</f>
        <v>1</v>
      </c>
      <c r="E8" s="21" t="n">
        <f aca="false">IF('Unit Economics'!$F$41=1,E6,MIN(E6,1))</f>
        <v>1</v>
      </c>
      <c r="F8" s="21" t="n">
        <f aca="false">IF('Unit Economics'!$F$41=1,F6,MIN(F6,1))</f>
        <v>1</v>
      </c>
      <c r="G8" s="21" t="n">
        <f aca="false">IF('Unit Economics'!$F$41=1,G6,MIN(G6,1))</f>
        <v>1</v>
      </c>
      <c r="H8" s="21" t="n">
        <f aca="false">IF('Unit Economics'!$F$41=1,H6,MIN(H6,1))</f>
        <v>1</v>
      </c>
      <c r="I8" s="21" t="n">
        <f aca="false">IF('Unit Economics'!$F$41=1,I6,MIN(I6,1))</f>
        <v>1</v>
      </c>
      <c r="J8" s="21" t="n">
        <f aca="false">IF('Unit Economics'!$F$41=1,J6,MIN(J6,1))</f>
        <v>1</v>
      </c>
      <c r="K8" s="21" t="n">
        <f aca="false">IF('Unit Economics'!$F$41=1,K6,MIN(K6,1))</f>
        <v>1</v>
      </c>
      <c r="L8" s="21" t="n">
        <f aca="false">IF('Unit Economics'!$F$41=1,L6,MIN(L6,1))</f>
        <v>1</v>
      </c>
    </row>
    <row r="9" customFormat="false" ht="15" hidden="false" customHeight="false" outlineLevel="0" collapsed="false">
      <c r="A9" s="11" t="s">
        <v>111</v>
      </c>
      <c r="C9" s="8" t="n">
        <f aca="false">IF(AND('Unit Economics'!$F$41=0,2027&gt;=Assumptions!$F$64),0,C8)</f>
        <v>1</v>
      </c>
      <c r="D9" s="8" t="n">
        <f aca="false">IF(AND('Unit Economics'!$F$41=0,2028&gt;=Assumptions!$F$64),0,D8)</f>
        <v>1</v>
      </c>
      <c r="E9" s="8" t="n">
        <f aca="false">IF(AND('Unit Economics'!$F$41=0,2029&gt;=Assumptions!$F$64),0,E8)</f>
        <v>0</v>
      </c>
      <c r="F9" s="8" t="n">
        <f aca="false">IF(AND('Unit Economics'!$F$41=0,2030&gt;=Assumptions!$F$64),0,F8)</f>
        <v>0</v>
      </c>
      <c r="G9" s="8" t="n">
        <f aca="false">IF(AND('Unit Economics'!$F$41=0,2031&gt;=Assumptions!$F$64),0,G8)</f>
        <v>0</v>
      </c>
      <c r="H9" s="8" t="n">
        <f aca="false">IF(AND('Unit Economics'!$F$41=0,2032&gt;=Assumptions!$F$64),0,H8)</f>
        <v>0</v>
      </c>
      <c r="I9" s="8" t="n">
        <f aca="false">IF(AND('Unit Economics'!$F$41=0,2033&gt;=Assumptions!$F$64),0,I8)</f>
        <v>0</v>
      </c>
      <c r="J9" s="8" t="n">
        <f aca="false">IF(AND('Unit Economics'!$F$41=0,2034&gt;=Assumptions!$F$64),0,J8)</f>
        <v>0</v>
      </c>
      <c r="K9" s="8" t="n">
        <f aca="false">IF(AND('Unit Economics'!$F$41=0,2035&gt;=Assumptions!$F$64),0,K8)</f>
        <v>0</v>
      </c>
      <c r="L9" s="8" t="n">
        <f aca="false">IF(AND('Unit Economics'!$F$41=0,2036&gt;=Assumptions!$F$64),0,L8)</f>
        <v>0</v>
      </c>
    </row>
    <row r="11" customFormat="false" ht="15" hidden="false" customHeight="false" outlineLevel="0" collapsed="false">
      <c r="A11" s="17" t="s">
        <v>112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false" outlineLevel="0" collapsed="false">
      <c r="A12" s="6" t="s">
        <v>108</v>
      </c>
      <c r="B12" s="19" t="n">
        <v>2030</v>
      </c>
      <c r="C12" s="20" t="n">
        <v>1</v>
      </c>
      <c r="D12" s="20" t="n">
        <v>1</v>
      </c>
      <c r="E12" s="20" t="n">
        <v>1</v>
      </c>
      <c r="F12" s="20" t="n">
        <v>1</v>
      </c>
      <c r="G12" s="20" t="n">
        <v>1</v>
      </c>
      <c r="H12" s="20" t="n">
        <v>1</v>
      </c>
      <c r="I12" s="20" t="n">
        <v>1</v>
      </c>
      <c r="J12" s="20" t="n">
        <v>1</v>
      </c>
      <c r="K12" s="20" t="n">
        <v>1</v>
      </c>
      <c r="L12" s="20" t="n">
        <v>1</v>
      </c>
    </row>
    <row r="13" customFormat="false" ht="15" hidden="false" customHeight="false" outlineLevel="0" collapsed="false">
      <c r="A13" s="6" t="s">
        <v>109</v>
      </c>
      <c r="C13" s="20" t="n">
        <v>0</v>
      </c>
      <c r="D13" s="20" t="n">
        <v>0</v>
      </c>
      <c r="E13" s="20" t="n">
        <v>0</v>
      </c>
      <c r="F13" s="20" t="n">
        <v>2</v>
      </c>
      <c r="G13" s="20" t="n">
        <v>4</v>
      </c>
      <c r="H13" s="20" t="n">
        <v>6</v>
      </c>
      <c r="I13" s="20" t="n">
        <v>9</v>
      </c>
      <c r="J13" s="20" t="n">
        <v>12</v>
      </c>
      <c r="K13" s="20" t="n">
        <v>15</v>
      </c>
      <c r="L13" s="20" t="n">
        <v>18</v>
      </c>
    </row>
    <row r="14" customFormat="false" ht="15" hidden="false" customHeight="false" outlineLevel="0" collapsed="false">
      <c r="A14" s="6" t="s">
        <v>110</v>
      </c>
      <c r="C14" s="21" t="n">
        <f aca="false">IF('Unit Economics'!$F$41=1,C12,MIN(C12,1))</f>
        <v>1</v>
      </c>
      <c r="D14" s="21" t="n">
        <f aca="false">IF('Unit Economics'!$F$41=1,D12,MIN(D12,1))</f>
        <v>1</v>
      </c>
      <c r="E14" s="21" t="n">
        <f aca="false">IF('Unit Economics'!$F$41=1,E12,MIN(E12,1))</f>
        <v>1</v>
      </c>
      <c r="F14" s="21" t="n">
        <f aca="false">IF('Unit Economics'!$F$41=1,F12,MIN(F12,1))</f>
        <v>1</v>
      </c>
      <c r="G14" s="21" t="n">
        <f aca="false">IF('Unit Economics'!$F$41=1,G12,MIN(G12,1))</f>
        <v>1</v>
      </c>
      <c r="H14" s="21" t="n">
        <f aca="false">IF('Unit Economics'!$F$41=1,H12,MIN(H12,1))</f>
        <v>1</v>
      </c>
      <c r="I14" s="21" t="n">
        <f aca="false">IF('Unit Economics'!$F$41=1,I12,MIN(I12,1))</f>
        <v>1</v>
      </c>
      <c r="J14" s="21" t="n">
        <f aca="false">IF('Unit Economics'!$F$41=1,J12,MIN(J12,1))</f>
        <v>1</v>
      </c>
      <c r="K14" s="21" t="n">
        <f aca="false">IF('Unit Economics'!$F$41=1,K12,MIN(K12,1))</f>
        <v>1</v>
      </c>
      <c r="L14" s="21" t="n">
        <f aca="false">IF('Unit Economics'!$F$41=1,L12,MIN(L12,1))</f>
        <v>1</v>
      </c>
    </row>
    <row r="15" customFormat="false" ht="15" hidden="false" customHeight="false" outlineLevel="0" collapsed="false">
      <c r="A15" s="11" t="s">
        <v>111</v>
      </c>
      <c r="C15" s="8" t="n">
        <f aca="false">IF(AND('Unit Economics'!$F$41=0,2027&gt;=Assumptions!$F$64),0,C14)</f>
        <v>1</v>
      </c>
      <c r="D15" s="8" t="n">
        <f aca="false">IF(AND('Unit Economics'!$F$41=0,2028&gt;=Assumptions!$F$64),0,D14)</f>
        <v>1</v>
      </c>
      <c r="E15" s="8" t="n">
        <f aca="false">IF(AND('Unit Economics'!$F$41=0,2029&gt;=Assumptions!$F$64),0,E14)</f>
        <v>0</v>
      </c>
      <c r="F15" s="8" t="n">
        <f aca="false">IF(AND('Unit Economics'!$F$41=0,2030&gt;=Assumptions!$F$64),0,F14)</f>
        <v>0</v>
      </c>
      <c r="G15" s="8" t="n">
        <f aca="false">IF(AND('Unit Economics'!$F$41=0,2031&gt;=Assumptions!$F$64),0,G14)</f>
        <v>0</v>
      </c>
      <c r="H15" s="8" t="n">
        <f aca="false">IF(AND('Unit Economics'!$F$41=0,2032&gt;=Assumptions!$F$64),0,H14)</f>
        <v>0</v>
      </c>
      <c r="I15" s="8" t="n">
        <f aca="false">IF(AND('Unit Economics'!$F$41=0,2033&gt;=Assumptions!$F$64),0,I14)</f>
        <v>0</v>
      </c>
      <c r="J15" s="8" t="n">
        <f aca="false">IF(AND('Unit Economics'!$F$41=0,2034&gt;=Assumptions!$F$64),0,J14)</f>
        <v>0</v>
      </c>
      <c r="K15" s="8" t="n">
        <f aca="false">IF(AND('Unit Economics'!$F$41=0,2035&gt;=Assumptions!$F$64),0,K14)</f>
        <v>0</v>
      </c>
      <c r="L15" s="8" t="n">
        <f aca="false">IF(AND('Unit Economics'!$F$41=0,2036&gt;=Assumptions!$F$64),0,L14)</f>
        <v>0</v>
      </c>
    </row>
    <row r="17" customFormat="false" ht="15" hidden="false" customHeight="false" outlineLevel="0" collapsed="false">
      <c r="A17" s="17" t="s">
        <v>113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</row>
    <row r="18" customFormat="false" ht="15" hidden="false" customHeight="false" outlineLevel="0" collapsed="false">
      <c r="A18" s="6" t="s">
        <v>108</v>
      </c>
      <c r="B18" s="19" t="n">
        <v>2030</v>
      </c>
      <c r="C18" s="20" t="n">
        <v>1</v>
      </c>
      <c r="D18" s="20" t="n">
        <v>1</v>
      </c>
      <c r="E18" s="20" t="n">
        <v>1</v>
      </c>
      <c r="F18" s="20" t="n">
        <v>2</v>
      </c>
      <c r="G18" s="20" t="n">
        <v>2</v>
      </c>
      <c r="H18" s="20" t="n">
        <v>2</v>
      </c>
      <c r="I18" s="20" t="n">
        <v>3</v>
      </c>
      <c r="J18" s="20" t="n">
        <v>3</v>
      </c>
      <c r="K18" s="20" t="n">
        <v>3</v>
      </c>
      <c r="L18" s="20" t="n">
        <v>3</v>
      </c>
    </row>
    <row r="19" customFormat="false" ht="15" hidden="false" customHeight="false" outlineLevel="0" collapsed="false">
      <c r="A19" s="6" t="s">
        <v>109</v>
      </c>
      <c r="C19" s="20" t="n">
        <v>0</v>
      </c>
      <c r="D19" s="20" t="n">
        <v>0</v>
      </c>
      <c r="E19" s="20" t="n">
        <v>0</v>
      </c>
      <c r="F19" s="20" t="n">
        <v>1</v>
      </c>
      <c r="G19" s="20" t="n">
        <v>3</v>
      </c>
      <c r="H19" s="20" t="n">
        <v>5</v>
      </c>
      <c r="I19" s="20" t="n">
        <v>7</v>
      </c>
      <c r="J19" s="20" t="n">
        <v>9</v>
      </c>
      <c r="K19" s="20" t="n">
        <v>11</v>
      </c>
      <c r="L19" s="20" t="n">
        <v>12</v>
      </c>
    </row>
    <row r="20" customFormat="false" ht="15" hidden="false" customHeight="false" outlineLevel="0" collapsed="false">
      <c r="A20" s="6" t="s">
        <v>110</v>
      </c>
      <c r="C20" s="21" t="n">
        <f aca="false">IF('Unit Economics'!$F$41=1,C18,MIN(C18,1))</f>
        <v>1</v>
      </c>
      <c r="D20" s="21" t="n">
        <f aca="false">IF('Unit Economics'!$F$41=1,D18,MIN(D18,1))</f>
        <v>1</v>
      </c>
      <c r="E20" s="21" t="n">
        <f aca="false">IF('Unit Economics'!$F$41=1,E18,MIN(E18,1))</f>
        <v>1</v>
      </c>
      <c r="F20" s="21" t="n">
        <f aca="false">IF('Unit Economics'!$F$41=1,F18,MIN(F18,1))</f>
        <v>1</v>
      </c>
      <c r="G20" s="21" t="n">
        <f aca="false">IF('Unit Economics'!$F$41=1,G18,MIN(G18,1))</f>
        <v>1</v>
      </c>
      <c r="H20" s="21" t="n">
        <f aca="false">IF('Unit Economics'!$F$41=1,H18,MIN(H18,1))</f>
        <v>1</v>
      </c>
      <c r="I20" s="21" t="n">
        <f aca="false">IF('Unit Economics'!$F$41=1,I18,MIN(I18,1))</f>
        <v>1</v>
      </c>
      <c r="J20" s="21" t="n">
        <f aca="false">IF('Unit Economics'!$F$41=1,J18,MIN(J18,1))</f>
        <v>1</v>
      </c>
      <c r="K20" s="21" t="n">
        <f aca="false">IF('Unit Economics'!$F$41=1,K18,MIN(K18,1))</f>
        <v>1</v>
      </c>
      <c r="L20" s="21" t="n">
        <f aca="false">IF('Unit Economics'!$F$41=1,L18,MIN(L18,1))</f>
        <v>1</v>
      </c>
    </row>
    <row r="21" customFormat="false" ht="15" hidden="false" customHeight="false" outlineLevel="0" collapsed="false">
      <c r="A21" s="11" t="s">
        <v>111</v>
      </c>
      <c r="C21" s="8" t="n">
        <f aca="false">IF(AND('Unit Economics'!$F$41=0,2027&gt;=Assumptions!$F$64),0,C20)</f>
        <v>1</v>
      </c>
      <c r="D21" s="8" t="n">
        <f aca="false">IF(AND('Unit Economics'!$F$41=0,2028&gt;=Assumptions!$F$64),0,D20)</f>
        <v>1</v>
      </c>
      <c r="E21" s="8" t="n">
        <f aca="false">IF(AND('Unit Economics'!$F$41=0,2029&gt;=Assumptions!$F$64),0,E20)</f>
        <v>0</v>
      </c>
      <c r="F21" s="8" t="n">
        <f aca="false">IF(AND('Unit Economics'!$F$41=0,2030&gt;=Assumptions!$F$64),0,F20)</f>
        <v>0</v>
      </c>
      <c r="G21" s="8" t="n">
        <f aca="false">IF(AND('Unit Economics'!$F$41=0,2031&gt;=Assumptions!$F$64),0,G20)</f>
        <v>0</v>
      </c>
      <c r="H21" s="8" t="n">
        <f aca="false">IF(AND('Unit Economics'!$F$41=0,2032&gt;=Assumptions!$F$64),0,H20)</f>
        <v>0</v>
      </c>
      <c r="I21" s="8" t="n">
        <f aca="false">IF(AND('Unit Economics'!$F$41=0,2033&gt;=Assumptions!$F$64),0,I20)</f>
        <v>0</v>
      </c>
      <c r="J21" s="8" t="n">
        <f aca="false">IF(AND('Unit Economics'!$F$41=0,2034&gt;=Assumptions!$F$64),0,J20)</f>
        <v>0</v>
      </c>
      <c r="K21" s="8" t="n">
        <f aca="false">IF(AND('Unit Economics'!$F$41=0,2035&gt;=Assumptions!$F$64),0,K20)</f>
        <v>0</v>
      </c>
      <c r="L21" s="8" t="n">
        <f aca="false">IF(AND('Unit Economics'!$F$41=0,2036&gt;=Assumptions!$F$64),0,L20)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3" customFormat="false" ht="15" hidden="false" customHeight="false" outlineLevel="0" collapsed="false">
      <c r="A3" s="11" t="s">
        <v>116</v>
      </c>
      <c r="C3" s="22" t="n">
        <v>2</v>
      </c>
      <c r="D3" s="6" t="str">
        <f aca="false">INDEX({"Downside","Base","Upside"},$C$3)</f>
        <v>Base</v>
      </c>
    </row>
    <row r="5" customFormat="false" ht="15" hidden="false" customHeight="false" outlineLevel="0" collapsed="false">
      <c r="A5" s="4" t="s">
        <v>117</v>
      </c>
      <c r="B5" s="5" t="s">
        <v>118</v>
      </c>
      <c r="C5" s="5" t="s">
        <v>119</v>
      </c>
      <c r="D5" s="5" t="s">
        <v>120</v>
      </c>
      <c r="E5" s="5" t="s">
        <v>121</v>
      </c>
      <c r="F5" s="5" t="s">
        <v>122</v>
      </c>
      <c r="G5" s="5" t="s">
        <v>123</v>
      </c>
    </row>
    <row r="6" customFormat="false" ht="15" hidden="false" customHeight="false" outlineLevel="0" collapsed="false">
      <c r="A6" s="17" t="s">
        <v>124</v>
      </c>
      <c r="B6" s="18"/>
      <c r="C6" s="18"/>
      <c r="D6" s="18"/>
      <c r="E6" s="18"/>
      <c r="F6" s="18"/>
      <c r="G6" s="18"/>
    </row>
    <row r="7" customFormat="false" ht="15" hidden="false" customHeight="false" outlineLevel="0" collapsed="false">
      <c r="A7" s="6" t="s">
        <v>125</v>
      </c>
      <c r="B7" s="2" t="s">
        <v>126</v>
      </c>
      <c r="C7" s="23" t="n">
        <v>12500000</v>
      </c>
      <c r="D7" s="23" t="n">
        <v>11500000</v>
      </c>
      <c r="E7" s="23" t="n">
        <v>10500000</v>
      </c>
      <c r="F7" s="24" t="n">
        <f aca="false">CHOOSE($C$3,C7,D7,E7)</f>
        <v>11500000</v>
      </c>
      <c r="G7" s="2" t="s">
        <v>127</v>
      </c>
    </row>
    <row r="8" customFormat="false" ht="15" hidden="false" customHeight="false" outlineLevel="0" collapsed="false">
      <c r="A8" s="6" t="s">
        <v>128</v>
      </c>
      <c r="B8" s="2" t="s">
        <v>129</v>
      </c>
      <c r="C8" s="25" t="n">
        <v>0</v>
      </c>
      <c r="D8" s="25" t="n">
        <v>0</v>
      </c>
      <c r="E8" s="25" t="n">
        <v>0</v>
      </c>
      <c r="F8" s="26" t="n">
        <f aca="false">CHOOSE($C$3,C8,D8,E8)</f>
        <v>0</v>
      </c>
      <c r="G8" s="2" t="s">
        <v>130</v>
      </c>
    </row>
    <row r="9" customFormat="false" ht="15" hidden="false" customHeight="false" outlineLevel="0" collapsed="false">
      <c r="A9" s="6" t="s">
        <v>131</v>
      </c>
      <c r="B9" s="2" t="s">
        <v>126</v>
      </c>
      <c r="C9" s="27" t="n">
        <v>85000</v>
      </c>
      <c r="D9" s="27" t="n">
        <v>75000</v>
      </c>
      <c r="E9" s="27" t="n">
        <v>60000</v>
      </c>
      <c r="F9" s="24" t="n">
        <f aca="false">CHOOSE($C$3,C9,D9,E9)</f>
        <v>75000</v>
      </c>
      <c r="G9" s="2" t="s">
        <v>132</v>
      </c>
    </row>
    <row r="10" customFormat="false" ht="15" hidden="false" customHeight="false" outlineLevel="0" collapsed="false">
      <c r="A10" s="6" t="s">
        <v>61</v>
      </c>
      <c r="B10" s="2" t="s">
        <v>126</v>
      </c>
      <c r="C10" s="27" t="n">
        <v>60000</v>
      </c>
      <c r="D10" s="27" t="n">
        <v>50000</v>
      </c>
      <c r="E10" s="27" t="n">
        <v>40000</v>
      </c>
      <c r="F10" s="24" t="n">
        <f aca="false">CHOOSE($C$3,C10,D10,E10)</f>
        <v>50000</v>
      </c>
      <c r="G10" s="2" t="s">
        <v>133</v>
      </c>
    </row>
    <row r="11" customFormat="false" ht="15" hidden="false" customHeight="false" outlineLevel="0" collapsed="false">
      <c r="A11" s="6" t="s">
        <v>134</v>
      </c>
      <c r="B11" s="2" t="s">
        <v>126</v>
      </c>
      <c r="C11" s="27" t="n">
        <v>200000</v>
      </c>
      <c r="D11" s="27" t="n">
        <v>150000</v>
      </c>
      <c r="E11" s="27" t="n">
        <v>100000</v>
      </c>
      <c r="F11" s="24" t="n">
        <f aca="false">CHOOSE($C$3,C11,D11,E11)</f>
        <v>150000</v>
      </c>
      <c r="G11" s="2" t="s">
        <v>135</v>
      </c>
    </row>
    <row r="12" customFormat="false" ht="15" hidden="false" customHeight="false" outlineLevel="0" collapsed="false">
      <c r="A12" s="6" t="s">
        <v>136</v>
      </c>
      <c r="B12" s="2" t="s">
        <v>126</v>
      </c>
      <c r="C12" s="27" t="n">
        <v>350000</v>
      </c>
      <c r="D12" s="27" t="n">
        <v>250000</v>
      </c>
      <c r="E12" s="27" t="n">
        <v>150000</v>
      </c>
      <c r="F12" s="24" t="n">
        <f aca="false">CHOOSE($C$3,C12,D12,E12)</f>
        <v>250000</v>
      </c>
      <c r="G12" s="2" t="s">
        <v>137</v>
      </c>
    </row>
    <row r="13" customFormat="false" ht="15" hidden="false" customHeight="false" outlineLevel="0" collapsed="false">
      <c r="A13" s="6" t="s">
        <v>138</v>
      </c>
      <c r="B13" s="2" t="s">
        <v>126</v>
      </c>
      <c r="C13" s="27" t="n">
        <v>100000</v>
      </c>
      <c r="D13" s="27" t="n">
        <v>75000</v>
      </c>
      <c r="E13" s="27" t="n">
        <v>50000</v>
      </c>
      <c r="F13" s="24" t="n">
        <f aca="false">CHOOSE($C$3,C13,D13,E13)</f>
        <v>75000</v>
      </c>
      <c r="G13" s="2" t="s">
        <v>139</v>
      </c>
    </row>
    <row r="14" customFormat="false" ht="15" hidden="false" customHeight="false" outlineLevel="0" collapsed="false">
      <c r="A14" s="6" t="s">
        <v>140</v>
      </c>
      <c r="B14" s="2" t="s">
        <v>126</v>
      </c>
      <c r="C14" s="27" t="n">
        <v>500000</v>
      </c>
      <c r="D14" s="27" t="n">
        <v>350000</v>
      </c>
      <c r="E14" s="27" t="n">
        <v>250000</v>
      </c>
      <c r="F14" s="24" t="n">
        <f aca="false">CHOOSE($C$3,C14,D14,E14)</f>
        <v>350000</v>
      </c>
      <c r="G14" s="2" t="s">
        <v>141</v>
      </c>
    </row>
    <row r="15" customFormat="false" ht="15" hidden="false" customHeight="false" outlineLevel="0" collapsed="false">
      <c r="A15" s="6" t="s">
        <v>142</v>
      </c>
      <c r="B15" s="2" t="s">
        <v>126</v>
      </c>
      <c r="C15" s="27" t="n">
        <v>75000</v>
      </c>
      <c r="D15" s="27" t="n">
        <v>50000</v>
      </c>
      <c r="E15" s="27" t="n">
        <v>35000</v>
      </c>
      <c r="F15" s="24" t="n">
        <f aca="false">CHOOSE($C$3,C15,D15,E15)</f>
        <v>50000</v>
      </c>
      <c r="G15" s="2" t="s">
        <v>143</v>
      </c>
    </row>
    <row r="16" customFormat="false" ht="15" hidden="false" customHeight="false" outlineLevel="0" collapsed="false">
      <c r="A16" s="6" t="s">
        <v>144</v>
      </c>
      <c r="B16" s="2" t="s">
        <v>126</v>
      </c>
      <c r="C16" s="27" t="n">
        <v>100000</v>
      </c>
      <c r="D16" s="27" t="n">
        <v>75000</v>
      </c>
      <c r="E16" s="27" t="n">
        <v>50000</v>
      </c>
      <c r="F16" s="24" t="n">
        <f aca="false">CHOOSE($C$3,C16,D16,E16)</f>
        <v>75000</v>
      </c>
      <c r="G16" s="2" t="s">
        <v>145</v>
      </c>
    </row>
    <row r="17" customFormat="false" ht="15" hidden="false" customHeight="false" outlineLevel="0" collapsed="false">
      <c r="A17" s="17" t="s">
        <v>146</v>
      </c>
      <c r="B17" s="18"/>
      <c r="C17" s="18"/>
      <c r="D17" s="18"/>
      <c r="E17" s="18"/>
      <c r="F17" s="18"/>
      <c r="G17" s="18"/>
    </row>
    <row r="18" customFormat="false" ht="15" hidden="false" customHeight="false" outlineLevel="0" collapsed="false">
      <c r="A18" s="6" t="s">
        <v>147</v>
      </c>
      <c r="B18" s="2" t="s">
        <v>129</v>
      </c>
      <c r="C18" s="28" t="n">
        <v>0.8</v>
      </c>
      <c r="D18" s="28" t="n">
        <v>0.8</v>
      </c>
      <c r="E18" s="28" t="n">
        <v>0.8</v>
      </c>
      <c r="F18" s="26" t="n">
        <f aca="false">CHOOSE($C$3,C18,D18,E18)</f>
        <v>0.8</v>
      </c>
      <c r="G18" s="2" t="s">
        <v>148</v>
      </c>
    </row>
    <row r="19" customFormat="false" ht="15" hidden="false" customHeight="false" outlineLevel="0" collapsed="false">
      <c r="A19" s="6" t="s">
        <v>149</v>
      </c>
      <c r="B19" s="2" t="s">
        <v>129</v>
      </c>
      <c r="C19" s="25" t="n">
        <v>0.08</v>
      </c>
      <c r="D19" s="25" t="n">
        <v>0.0725</v>
      </c>
      <c r="E19" s="25" t="n">
        <v>0.0675</v>
      </c>
      <c r="F19" s="26" t="n">
        <f aca="false">CHOOSE($C$3,C19,D19,E19)</f>
        <v>0.0725</v>
      </c>
      <c r="G19" s="2" t="s">
        <v>150</v>
      </c>
    </row>
    <row r="20" customFormat="false" ht="15" hidden="false" customHeight="false" outlineLevel="0" collapsed="false">
      <c r="A20" s="6" t="s">
        <v>151</v>
      </c>
      <c r="B20" s="2" t="s">
        <v>152</v>
      </c>
      <c r="C20" s="29" t="n">
        <v>15</v>
      </c>
      <c r="D20" s="29" t="n">
        <v>15</v>
      </c>
      <c r="E20" s="29" t="n">
        <v>20</v>
      </c>
      <c r="F20" s="30" t="n">
        <f aca="false">CHOOSE($C$3,C20,D20,E20)</f>
        <v>15</v>
      </c>
      <c r="G20" s="2" t="s">
        <v>153</v>
      </c>
    </row>
    <row r="21" customFormat="false" ht="15" hidden="false" customHeight="false" outlineLevel="0" collapsed="false">
      <c r="A21" s="17" t="s">
        <v>154</v>
      </c>
      <c r="B21" s="18"/>
      <c r="C21" s="18"/>
      <c r="D21" s="18"/>
      <c r="E21" s="18"/>
      <c r="F21" s="18"/>
      <c r="G21" s="18"/>
    </row>
    <row r="22" customFormat="false" ht="15" hidden="false" customHeight="false" outlineLevel="0" collapsed="false">
      <c r="A22" s="6" t="s">
        <v>155</v>
      </c>
      <c r="B22" s="2" t="s">
        <v>156</v>
      </c>
      <c r="C22" s="20" t="n">
        <v>500</v>
      </c>
      <c r="D22" s="20" t="n">
        <v>600</v>
      </c>
      <c r="E22" s="20" t="n">
        <v>700</v>
      </c>
      <c r="F22" s="30" t="n">
        <f aca="false">CHOOSE($C$3,C22,D22,E22)</f>
        <v>600</v>
      </c>
      <c r="G22" s="2" t="s">
        <v>157</v>
      </c>
    </row>
    <row r="23" customFormat="false" ht="15" hidden="false" customHeight="false" outlineLevel="0" collapsed="false">
      <c r="A23" s="6" t="s">
        <v>158</v>
      </c>
      <c r="B23" s="2" t="s">
        <v>159</v>
      </c>
      <c r="C23" s="29" t="n">
        <v>5</v>
      </c>
      <c r="D23" s="29" t="n">
        <v>6</v>
      </c>
      <c r="E23" s="29" t="n">
        <v>6</v>
      </c>
      <c r="F23" s="30" t="n">
        <f aca="false">CHOOSE($C$3,C23,D23,E23)</f>
        <v>6</v>
      </c>
      <c r="G23" s="2" t="s">
        <v>160</v>
      </c>
    </row>
    <row r="24" customFormat="false" ht="15" hidden="false" customHeight="false" outlineLevel="0" collapsed="false">
      <c r="A24" s="6" t="s">
        <v>161</v>
      </c>
      <c r="B24" s="2" t="s">
        <v>129</v>
      </c>
      <c r="C24" s="25" t="n">
        <v>0.5</v>
      </c>
      <c r="D24" s="25" t="n">
        <v>0.6</v>
      </c>
      <c r="E24" s="25" t="n">
        <v>0.7</v>
      </c>
      <c r="F24" s="26" t="n">
        <f aca="false">CHOOSE($C$3,C24,D24,E24)</f>
        <v>0.6</v>
      </c>
      <c r="G24" s="2" t="s">
        <v>162</v>
      </c>
    </row>
    <row r="25" customFormat="false" ht="15" hidden="false" customHeight="false" outlineLevel="0" collapsed="false">
      <c r="A25" s="6" t="s">
        <v>163</v>
      </c>
      <c r="B25" s="2" t="s">
        <v>129</v>
      </c>
      <c r="C25" s="25" t="n">
        <v>0.8</v>
      </c>
      <c r="D25" s="25" t="n">
        <v>0.9</v>
      </c>
      <c r="E25" s="25" t="n">
        <v>1</v>
      </c>
      <c r="F25" s="26" t="n">
        <f aca="false">CHOOSE($C$3,C25,D25,E25)</f>
        <v>0.9</v>
      </c>
      <c r="G25" s="2"/>
    </row>
    <row r="26" customFormat="false" ht="15" hidden="false" customHeight="false" outlineLevel="0" collapsed="false">
      <c r="A26" s="6" t="s">
        <v>164</v>
      </c>
      <c r="B26" s="2" t="s">
        <v>129</v>
      </c>
      <c r="C26" s="28" t="n">
        <v>0.95</v>
      </c>
      <c r="D26" s="28" t="n">
        <v>0.95</v>
      </c>
      <c r="E26" s="28" t="n">
        <v>0.95</v>
      </c>
      <c r="F26" s="26" t="n">
        <f aca="false">CHOOSE($C$3,C26,D26,E26)</f>
        <v>0.95</v>
      </c>
      <c r="G26" s="2" t="s">
        <v>165</v>
      </c>
    </row>
    <row r="27" customFormat="false" ht="15" hidden="false" customHeight="false" outlineLevel="0" collapsed="false">
      <c r="A27" s="6" t="s">
        <v>166</v>
      </c>
      <c r="B27" s="2" t="s">
        <v>167</v>
      </c>
      <c r="C27" s="23" t="n">
        <v>6250</v>
      </c>
      <c r="D27" s="23" t="n">
        <v>6750</v>
      </c>
      <c r="E27" s="23" t="n">
        <v>7000</v>
      </c>
      <c r="F27" s="24" t="n">
        <f aca="false">CHOOSE($C$3,C27,D27,E27)</f>
        <v>6750</v>
      </c>
      <c r="G27" s="2" t="s">
        <v>168</v>
      </c>
    </row>
    <row r="28" customFormat="false" ht="15" hidden="false" customHeight="false" outlineLevel="0" collapsed="false">
      <c r="A28" s="6" t="s">
        <v>169</v>
      </c>
      <c r="B28" s="2" t="s">
        <v>167</v>
      </c>
      <c r="C28" s="23" t="n">
        <v>7500</v>
      </c>
      <c r="D28" s="23" t="n">
        <v>8000</v>
      </c>
      <c r="E28" s="23" t="n">
        <v>8500</v>
      </c>
      <c r="F28" s="24" t="n">
        <f aca="false">CHOOSE($C$3,C28,D28,E28)</f>
        <v>8000</v>
      </c>
      <c r="G28" s="2" t="s">
        <v>170</v>
      </c>
    </row>
    <row r="29" customFormat="false" ht="15" hidden="false" customHeight="false" outlineLevel="0" collapsed="false">
      <c r="A29" s="6" t="s">
        <v>171</v>
      </c>
      <c r="B29" s="2" t="s">
        <v>129</v>
      </c>
      <c r="C29" s="25" t="n">
        <v>0.02</v>
      </c>
      <c r="D29" s="25" t="n">
        <v>0.03</v>
      </c>
      <c r="E29" s="25" t="n">
        <v>0.035</v>
      </c>
      <c r="F29" s="26" t="n">
        <f aca="false">CHOOSE($C$3,C29,D29,E29)</f>
        <v>0.03</v>
      </c>
      <c r="G29" s="2"/>
    </row>
    <row r="30" customFormat="false" ht="15" hidden="false" customHeight="false" outlineLevel="0" collapsed="false">
      <c r="A30" s="6" t="s">
        <v>172</v>
      </c>
      <c r="B30" s="2" t="s">
        <v>129</v>
      </c>
      <c r="C30" s="25" t="n">
        <v>0.15</v>
      </c>
      <c r="D30" s="25" t="n">
        <v>0.1</v>
      </c>
      <c r="E30" s="25" t="n">
        <v>0.08</v>
      </c>
      <c r="F30" s="26" t="n">
        <f aca="false">CHOOSE($C$3,C30,D30,E30)</f>
        <v>0.1</v>
      </c>
      <c r="G30" s="2" t="s">
        <v>173</v>
      </c>
    </row>
    <row r="31" customFormat="false" ht="15" hidden="false" customHeight="false" outlineLevel="0" collapsed="false">
      <c r="A31" s="17" t="s">
        <v>174</v>
      </c>
      <c r="B31" s="18"/>
      <c r="C31" s="18"/>
      <c r="D31" s="18"/>
      <c r="E31" s="18"/>
      <c r="F31" s="18"/>
      <c r="G31" s="18"/>
    </row>
    <row r="32" customFormat="false" ht="15" hidden="false" customHeight="false" outlineLevel="0" collapsed="false">
      <c r="A32" s="6" t="s">
        <v>175</v>
      </c>
      <c r="B32" s="2" t="s">
        <v>176</v>
      </c>
      <c r="C32" s="29" t="n">
        <v>295</v>
      </c>
      <c r="D32" s="29" t="n">
        <v>285</v>
      </c>
      <c r="E32" s="29" t="n">
        <v>275</v>
      </c>
      <c r="F32" s="30" t="n">
        <f aca="false">CHOOSE($C$3,C32,D32,E32)</f>
        <v>285</v>
      </c>
      <c r="G32" s="2" t="s">
        <v>177</v>
      </c>
    </row>
    <row r="33" customFormat="false" ht="15" hidden="false" customHeight="false" outlineLevel="0" collapsed="false">
      <c r="A33" s="6" t="s">
        <v>178</v>
      </c>
      <c r="B33" s="2" t="s">
        <v>179</v>
      </c>
      <c r="C33" s="31" t="n">
        <v>7.25</v>
      </c>
      <c r="D33" s="31" t="n">
        <v>6.75</v>
      </c>
      <c r="E33" s="31" t="n">
        <v>6.25</v>
      </c>
      <c r="F33" s="32" t="n">
        <f aca="false">CHOOSE($C$3,C33,D33,E33)</f>
        <v>6.75</v>
      </c>
      <c r="G33" s="2" t="s">
        <v>180</v>
      </c>
    </row>
    <row r="34" customFormat="false" ht="15" hidden="false" customHeight="false" outlineLevel="0" collapsed="false">
      <c r="A34" s="6" t="s">
        <v>181</v>
      </c>
      <c r="B34" s="2" t="s">
        <v>167</v>
      </c>
      <c r="C34" s="27" t="n">
        <v>1450</v>
      </c>
      <c r="D34" s="27" t="n">
        <v>1250</v>
      </c>
      <c r="E34" s="27" t="n">
        <v>1100</v>
      </c>
      <c r="F34" s="24" t="n">
        <f aca="false">CHOOSE($C$3,C34,D34,E34)</f>
        <v>1250</v>
      </c>
      <c r="G34" s="2" t="s">
        <v>182</v>
      </c>
    </row>
    <row r="35" customFormat="false" ht="15" hidden="false" customHeight="false" outlineLevel="0" collapsed="false">
      <c r="A35" s="6" t="s">
        <v>183</v>
      </c>
      <c r="B35" s="2" t="s">
        <v>167</v>
      </c>
      <c r="C35" s="27" t="n">
        <v>1000</v>
      </c>
      <c r="D35" s="27" t="n">
        <v>950</v>
      </c>
      <c r="E35" s="27" t="n">
        <v>906</v>
      </c>
      <c r="F35" s="24" t="n">
        <f aca="false">CHOOSE($C$3,C35,D35,E35)</f>
        <v>950</v>
      </c>
      <c r="G35" s="2" t="s">
        <v>184</v>
      </c>
    </row>
    <row r="36" customFormat="false" ht="15" hidden="false" customHeight="false" outlineLevel="0" collapsed="false">
      <c r="A36" s="6" t="s">
        <v>185</v>
      </c>
      <c r="B36" s="2" t="s">
        <v>167</v>
      </c>
      <c r="C36" s="27" t="n">
        <v>110</v>
      </c>
      <c r="D36" s="27" t="n">
        <v>95</v>
      </c>
      <c r="E36" s="27" t="n">
        <v>85</v>
      </c>
      <c r="F36" s="24" t="n">
        <f aca="false">CHOOSE($C$3,C36,D36,E36)</f>
        <v>95</v>
      </c>
      <c r="G36" s="2" t="s">
        <v>133</v>
      </c>
    </row>
    <row r="37" customFormat="false" ht="15" hidden="false" customHeight="false" outlineLevel="0" collapsed="false">
      <c r="A37" s="6" t="s">
        <v>186</v>
      </c>
      <c r="B37" s="2" t="s">
        <v>129</v>
      </c>
      <c r="C37" s="25" t="n">
        <v>0.2</v>
      </c>
      <c r="D37" s="25" t="n">
        <v>0.15</v>
      </c>
      <c r="E37" s="25" t="n">
        <v>0.1</v>
      </c>
      <c r="F37" s="26" t="n">
        <f aca="false">CHOOSE($C$3,C37,D37,E37)</f>
        <v>0.15</v>
      </c>
      <c r="G37" s="2" t="s">
        <v>187</v>
      </c>
    </row>
    <row r="38" customFormat="false" ht="15" hidden="false" customHeight="false" outlineLevel="0" collapsed="false">
      <c r="A38" s="6" t="s">
        <v>188</v>
      </c>
      <c r="B38" s="2" t="s">
        <v>167</v>
      </c>
      <c r="C38" s="27" t="n">
        <v>500</v>
      </c>
      <c r="D38" s="27" t="n">
        <v>450</v>
      </c>
      <c r="E38" s="27" t="n">
        <v>400</v>
      </c>
      <c r="F38" s="24" t="n">
        <f aca="false">CHOOSE($C$3,C38,D38,E38)</f>
        <v>450</v>
      </c>
      <c r="G38" s="2" t="s">
        <v>189</v>
      </c>
    </row>
    <row r="39" customFormat="false" ht="15" hidden="false" customHeight="false" outlineLevel="0" collapsed="false">
      <c r="A39" s="17" t="s">
        <v>190</v>
      </c>
      <c r="B39" s="18"/>
      <c r="C39" s="18"/>
      <c r="D39" s="18"/>
      <c r="E39" s="18"/>
      <c r="F39" s="18"/>
      <c r="G39" s="18"/>
    </row>
    <row r="40" customFormat="false" ht="15" hidden="false" customHeight="false" outlineLevel="0" collapsed="false">
      <c r="A40" s="6" t="s">
        <v>191</v>
      </c>
      <c r="B40" s="2" t="s">
        <v>192</v>
      </c>
      <c r="C40" s="29" t="n">
        <v>2</v>
      </c>
      <c r="D40" s="29" t="n">
        <v>2</v>
      </c>
      <c r="E40" s="29" t="n">
        <v>2</v>
      </c>
      <c r="F40" s="30" t="n">
        <f aca="false">CHOOSE($C$3,C40,D40,E40)</f>
        <v>2</v>
      </c>
      <c r="G40" s="2" t="s">
        <v>193</v>
      </c>
    </row>
    <row r="41" customFormat="false" ht="15" hidden="false" customHeight="false" outlineLevel="0" collapsed="false">
      <c r="A41" s="6" t="s">
        <v>194</v>
      </c>
      <c r="B41" s="2" t="s">
        <v>192</v>
      </c>
      <c r="C41" s="29" t="n">
        <v>1</v>
      </c>
      <c r="D41" s="29" t="n">
        <v>1</v>
      </c>
      <c r="E41" s="29" t="n">
        <v>1</v>
      </c>
      <c r="F41" s="30" t="n">
        <f aca="false">CHOOSE($C$3,C41,D41,E41)</f>
        <v>1</v>
      </c>
      <c r="G41" s="2" t="s">
        <v>195</v>
      </c>
    </row>
    <row r="42" customFormat="false" ht="15" hidden="false" customHeight="false" outlineLevel="0" collapsed="false">
      <c r="A42" s="6" t="s">
        <v>196</v>
      </c>
      <c r="B42" s="2" t="s">
        <v>126</v>
      </c>
      <c r="C42" s="27" t="n">
        <v>190000</v>
      </c>
      <c r="D42" s="27" t="n">
        <v>175000</v>
      </c>
      <c r="E42" s="27" t="n">
        <v>165000</v>
      </c>
      <c r="F42" s="24" t="n">
        <f aca="false">CHOOSE($C$3,C42,D42,E42)</f>
        <v>175000</v>
      </c>
      <c r="G42" s="2" t="s">
        <v>197</v>
      </c>
    </row>
    <row r="43" customFormat="false" ht="15" hidden="false" customHeight="false" outlineLevel="0" collapsed="false">
      <c r="A43" s="6" t="s">
        <v>198</v>
      </c>
      <c r="B43" s="2" t="s">
        <v>126</v>
      </c>
      <c r="C43" s="27" t="n">
        <v>160000</v>
      </c>
      <c r="D43" s="27" t="n">
        <v>150000</v>
      </c>
      <c r="E43" s="27" t="n">
        <v>140000</v>
      </c>
      <c r="F43" s="24" t="n">
        <f aca="false">CHOOSE($C$3,C43,D43,E43)</f>
        <v>150000</v>
      </c>
      <c r="G43" s="2" t="s">
        <v>199</v>
      </c>
    </row>
    <row r="44" customFormat="false" ht="15" hidden="false" customHeight="false" outlineLevel="0" collapsed="false">
      <c r="A44" s="6" t="s">
        <v>200</v>
      </c>
      <c r="B44" s="2" t="s">
        <v>129</v>
      </c>
      <c r="C44" s="25" t="n">
        <v>0.28</v>
      </c>
      <c r="D44" s="25" t="n">
        <v>0.25</v>
      </c>
      <c r="E44" s="25" t="n">
        <v>0.22</v>
      </c>
      <c r="F44" s="26" t="n">
        <f aca="false">CHOOSE($C$3,C44,D44,E44)</f>
        <v>0.25</v>
      </c>
      <c r="G44" s="2" t="s">
        <v>201</v>
      </c>
    </row>
    <row r="45" customFormat="false" ht="15" hidden="false" customHeight="false" outlineLevel="0" collapsed="false">
      <c r="A45" s="6" t="s">
        <v>202</v>
      </c>
      <c r="B45" s="2" t="s">
        <v>126</v>
      </c>
      <c r="C45" s="27" t="n">
        <v>90000</v>
      </c>
      <c r="D45" s="27" t="n">
        <v>60000</v>
      </c>
      <c r="E45" s="27" t="n">
        <v>40000</v>
      </c>
      <c r="F45" s="24" t="n">
        <f aca="false">CHOOSE($C$3,C45,D45,E45)</f>
        <v>60000</v>
      </c>
      <c r="G45" s="2" t="s">
        <v>133</v>
      </c>
    </row>
    <row r="46" customFormat="false" ht="15" hidden="false" customHeight="false" outlineLevel="0" collapsed="false">
      <c r="A46" s="6" t="s">
        <v>203</v>
      </c>
      <c r="B46" s="2" t="s">
        <v>126</v>
      </c>
      <c r="C46" s="27" t="n">
        <v>55000</v>
      </c>
      <c r="D46" s="27" t="n">
        <v>45000</v>
      </c>
      <c r="E46" s="27" t="n">
        <v>40000</v>
      </c>
      <c r="F46" s="24" t="n">
        <f aca="false">CHOOSE($C$3,C46,D46,E46)</f>
        <v>45000</v>
      </c>
      <c r="G46" s="2" t="s">
        <v>204</v>
      </c>
    </row>
    <row r="47" customFormat="false" ht="15" hidden="false" customHeight="false" outlineLevel="0" collapsed="false">
      <c r="A47" s="6" t="s">
        <v>205</v>
      </c>
      <c r="B47" s="2" t="s">
        <v>126</v>
      </c>
      <c r="C47" s="27" t="n">
        <v>84000</v>
      </c>
      <c r="D47" s="27" t="n">
        <v>66000</v>
      </c>
      <c r="E47" s="27" t="n">
        <v>54000</v>
      </c>
      <c r="F47" s="24" t="n">
        <f aca="false">CHOOSE($C$3,C47,D47,E47)</f>
        <v>66000</v>
      </c>
      <c r="G47" s="2" t="s">
        <v>206</v>
      </c>
    </row>
    <row r="48" customFormat="false" ht="15" hidden="false" customHeight="false" outlineLevel="0" collapsed="false">
      <c r="A48" s="6" t="s">
        <v>207</v>
      </c>
      <c r="B48" s="2" t="s">
        <v>126</v>
      </c>
      <c r="C48" s="27" t="n">
        <v>110000</v>
      </c>
      <c r="D48" s="27" t="n">
        <v>85000</v>
      </c>
      <c r="E48" s="27" t="n">
        <v>70000</v>
      </c>
      <c r="F48" s="24" t="n">
        <f aca="false">CHOOSE($C$3,C48,D48,E48)</f>
        <v>85000</v>
      </c>
      <c r="G48" s="2" t="s">
        <v>208</v>
      </c>
    </row>
    <row r="49" customFormat="false" ht="15" hidden="false" customHeight="false" outlineLevel="0" collapsed="false">
      <c r="A49" s="6" t="s">
        <v>209</v>
      </c>
      <c r="B49" s="2" t="s">
        <v>210</v>
      </c>
      <c r="C49" s="23" t="n">
        <v>11000</v>
      </c>
      <c r="D49" s="23" t="n">
        <v>10000</v>
      </c>
      <c r="E49" s="23" t="n">
        <v>8500</v>
      </c>
      <c r="F49" s="24" t="n">
        <f aca="false">CHOOSE($C$3,C49,D49,E49)</f>
        <v>10000</v>
      </c>
      <c r="G49" s="2" t="s">
        <v>211</v>
      </c>
    </row>
    <row r="50" customFormat="false" ht="15" hidden="false" customHeight="false" outlineLevel="0" collapsed="false">
      <c r="A50" s="6" t="s">
        <v>212</v>
      </c>
      <c r="B50" s="2" t="s">
        <v>129</v>
      </c>
      <c r="C50" s="28" t="n">
        <v>0.12</v>
      </c>
      <c r="D50" s="28" t="n">
        <v>0.1</v>
      </c>
      <c r="E50" s="28" t="n">
        <v>0.08</v>
      </c>
      <c r="F50" s="26" t="n">
        <f aca="false">CHOOSE($C$3,C50,D50,E50)</f>
        <v>0.1</v>
      </c>
      <c r="G50" s="2" t="s">
        <v>213</v>
      </c>
    </row>
    <row r="51" customFormat="false" ht="15" hidden="false" customHeight="false" outlineLevel="0" collapsed="false">
      <c r="A51" s="6" t="s">
        <v>214</v>
      </c>
      <c r="B51" s="2" t="s">
        <v>126</v>
      </c>
      <c r="C51" s="27" t="n">
        <v>100000</v>
      </c>
      <c r="D51" s="27" t="n">
        <v>80000</v>
      </c>
      <c r="E51" s="27" t="n">
        <v>65000</v>
      </c>
      <c r="F51" s="24" t="n">
        <f aca="false">CHOOSE($C$3,C51,D51,E51)</f>
        <v>80000</v>
      </c>
      <c r="G51" s="2" t="s">
        <v>215</v>
      </c>
    </row>
    <row r="52" customFormat="false" ht="15" hidden="false" customHeight="false" outlineLevel="0" collapsed="false">
      <c r="A52" s="6" t="s">
        <v>216</v>
      </c>
      <c r="B52" s="2" t="s">
        <v>126</v>
      </c>
      <c r="C52" s="27" t="n">
        <v>200000</v>
      </c>
      <c r="D52" s="27" t="n">
        <v>150000</v>
      </c>
      <c r="E52" s="27" t="n">
        <v>100000</v>
      </c>
      <c r="F52" s="24" t="n">
        <f aca="false">CHOOSE($C$3,C52,D52,E52)</f>
        <v>150000</v>
      </c>
      <c r="G52" s="2" t="s">
        <v>217</v>
      </c>
    </row>
    <row r="53" customFormat="false" ht="15" hidden="false" customHeight="false" outlineLevel="0" collapsed="false">
      <c r="A53" s="6" t="s">
        <v>218</v>
      </c>
      <c r="B53" s="2" t="s">
        <v>126</v>
      </c>
      <c r="C53" s="27" t="n">
        <v>120000</v>
      </c>
      <c r="D53" s="27" t="n">
        <v>100000</v>
      </c>
      <c r="E53" s="27" t="n">
        <v>85000</v>
      </c>
      <c r="F53" s="24" t="n">
        <f aca="false">CHOOSE($C$3,C53,D53,E53)</f>
        <v>100000</v>
      </c>
      <c r="G53" s="2" t="s">
        <v>219</v>
      </c>
    </row>
    <row r="54" customFormat="false" ht="15" hidden="false" customHeight="false" outlineLevel="0" collapsed="false">
      <c r="A54" s="6" t="s">
        <v>220</v>
      </c>
      <c r="B54" s="2" t="s">
        <v>129</v>
      </c>
      <c r="C54" s="25" t="n">
        <v>0.04</v>
      </c>
      <c r="D54" s="25" t="n">
        <v>0.03</v>
      </c>
      <c r="E54" s="25" t="n">
        <v>0.025</v>
      </c>
      <c r="F54" s="26" t="n">
        <f aca="false">CHOOSE($C$3,C54,D54,E54)</f>
        <v>0.03</v>
      </c>
      <c r="G54" s="2"/>
    </row>
    <row r="55" customFormat="false" ht="15" hidden="false" customHeight="false" outlineLevel="0" collapsed="false">
      <c r="A55" s="6" t="s">
        <v>221</v>
      </c>
      <c r="B55" s="2" t="s">
        <v>159</v>
      </c>
      <c r="C55" s="29" t="n">
        <v>6</v>
      </c>
      <c r="D55" s="29" t="n">
        <v>6</v>
      </c>
      <c r="E55" s="29" t="n">
        <v>5</v>
      </c>
      <c r="F55" s="30" t="n">
        <f aca="false">CHOOSE($C$3,C55,D55,E55)</f>
        <v>6</v>
      </c>
      <c r="G55" s="2" t="s">
        <v>222</v>
      </c>
    </row>
    <row r="56" customFormat="false" ht="15" hidden="false" customHeight="false" outlineLevel="0" collapsed="false">
      <c r="A56" s="17" t="s">
        <v>223</v>
      </c>
      <c r="B56" s="18"/>
      <c r="C56" s="18"/>
      <c r="D56" s="18"/>
      <c r="E56" s="18"/>
      <c r="F56" s="18"/>
      <c r="G56" s="18"/>
    </row>
    <row r="57" customFormat="false" ht="15" hidden="false" customHeight="false" outlineLevel="0" collapsed="false">
      <c r="A57" s="6" t="s">
        <v>224</v>
      </c>
      <c r="B57" s="2" t="s">
        <v>152</v>
      </c>
      <c r="C57" s="29" t="n">
        <v>1</v>
      </c>
      <c r="D57" s="29" t="n">
        <v>0</v>
      </c>
      <c r="E57" s="29" t="n">
        <v>-1</v>
      </c>
      <c r="F57" s="30" t="n">
        <f aca="false">CHOOSE($C$3,C57,D57,E57)</f>
        <v>0</v>
      </c>
      <c r="G57" s="2" t="s">
        <v>225</v>
      </c>
    </row>
    <row r="58" customFormat="false" ht="15" hidden="false" customHeight="false" outlineLevel="0" collapsed="false">
      <c r="A58" s="6" t="s">
        <v>226</v>
      </c>
      <c r="B58" s="2" t="s">
        <v>126</v>
      </c>
      <c r="C58" s="27" t="n">
        <v>450000</v>
      </c>
      <c r="D58" s="27" t="n">
        <v>350000</v>
      </c>
      <c r="E58" s="27" t="n">
        <v>275000</v>
      </c>
      <c r="F58" s="24" t="n">
        <f aca="false">CHOOSE($C$3,C58,D58,E58)</f>
        <v>350000</v>
      </c>
      <c r="G58" s="2" t="s">
        <v>227</v>
      </c>
    </row>
    <row r="59" customFormat="false" ht="15" hidden="false" customHeight="false" outlineLevel="0" collapsed="false">
      <c r="A59" s="6" t="s">
        <v>228</v>
      </c>
      <c r="B59" s="2" t="s">
        <v>229</v>
      </c>
      <c r="C59" s="27" t="n">
        <v>1000000</v>
      </c>
      <c r="D59" s="27" t="n">
        <v>850000</v>
      </c>
      <c r="E59" s="27" t="n">
        <v>750000</v>
      </c>
      <c r="F59" s="24" t="n">
        <f aca="false">CHOOSE($C$3,C59,D59,E59)</f>
        <v>850000</v>
      </c>
      <c r="G59" s="2" t="s">
        <v>230</v>
      </c>
    </row>
    <row r="60" customFormat="false" ht="15" hidden="false" customHeight="false" outlineLevel="0" collapsed="false">
      <c r="A60" s="6" t="s">
        <v>231</v>
      </c>
      <c r="B60" s="2" t="s">
        <v>229</v>
      </c>
      <c r="C60" s="27" t="n">
        <v>60000</v>
      </c>
      <c r="D60" s="27" t="n">
        <v>50000</v>
      </c>
      <c r="E60" s="27" t="n">
        <v>40000</v>
      </c>
      <c r="F60" s="24" t="n">
        <f aca="false">CHOOSE($C$3,C60,D60,E60)</f>
        <v>50000</v>
      </c>
      <c r="G60" s="2"/>
    </row>
    <row r="61" customFormat="false" ht="15" hidden="false" customHeight="false" outlineLevel="0" collapsed="false">
      <c r="A61" s="6" t="s">
        <v>232</v>
      </c>
      <c r="B61" s="2" t="s">
        <v>229</v>
      </c>
      <c r="C61" s="23" t="n">
        <v>150000</v>
      </c>
      <c r="D61" s="23" t="n">
        <v>200000</v>
      </c>
      <c r="E61" s="23" t="n">
        <v>225000</v>
      </c>
      <c r="F61" s="24" t="n">
        <f aca="false">CHOOSE($C$3,C61,D61,E61)</f>
        <v>200000</v>
      </c>
      <c r="G61" s="2" t="s">
        <v>233</v>
      </c>
    </row>
    <row r="62" customFormat="false" ht="15" hidden="false" customHeight="false" outlineLevel="0" collapsed="false">
      <c r="A62" s="17" t="s">
        <v>234</v>
      </c>
      <c r="B62" s="18"/>
      <c r="C62" s="18"/>
      <c r="D62" s="18"/>
      <c r="E62" s="18"/>
      <c r="F62" s="18"/>
      <c r="G62" s="18"/>
    </row>
    <row r="63" customFormat="false" ht="15" hidden="false" customHeight="false" outlineLevel="0" collapsed="false">
      <c r="A63" s="6" t="s">
        <v>235</v>
      </c>
      <c r="B63" s="2" t="s">
        <v>229</v>
      </c>
      <c r="C63" s="23" t="n">
        <v>-750000</v>
      </c>
      <c r="D63" s="23" t="n">
        <v>-750000</v>
      </c>
      <c r="E63" s="23" t="n">
        <v>-750000</v>
      </c>
      <c r="F63" s="24" t="n">
        <f aca="false">CHOOSE($C$3,C63,D63,E63)</f>
        <v>-750000</v>
      </c>
      <c r="G63" s="2" t="s">
        <v>236</v>
      </c>
    </row>
    <row r="64" customFormat="false" ht="15" hidden="false" customHeight="false" outlineLevel="0" collapsed="false">
      <c r="A64" s="6" t="s">
        <v>237</v>
      </c>
      <c r="B64" s="2" t="s">
        <v>238</v>
      </c>
      <c r="C64" s="33" t="n">
        <v>2029</v>
      </c>
      <c r="D64" s="33" t="n">
        <v>2029</v>
      </c>
      <c r="E64" s="33" t="n">
        <v>2029</v>
      </c>
      <c r="F64" s="34" t="n">
        <f aca="false">CHOOSE($C$3,C64,D64,E64)</f>
        <v>2029</v>
      </c>
      <c r="G64" s="2" t="s">
        <v>239</v>
      </c>
    </row>
    <row r="65" customFormat="false" ht="15" hidden="false" customHeight="false" outlineLevel="0" collapsed="false">
      <c r="A65" s="17" t="s">
        <v>240</v>
      </c>
      <c r="B65" s="18"/>
      <c r="C65" s="18"/>
      <c r="D65" s="18"/>
      <c r="E65" s="18"/>
      <c r="F65" s="18"/>
      <c r="G65" s="18"/>
    </row>
    <row r="66" customFormat="false" ht="15" hidden="false" customHeight="false" outlineLevel="0" collapsed="false">
      <c r="A66" s="6" t="s">
        <v>241</v>
      </c>
      <c r="B66" s="2" t="s">
        <v>129</v>
      </c>
      <c r="C66" s="25" t="n">
        <v>0</v>
      </c>
      <c r="D66" s="25" t="n">
        <v>0</v>
      </c>
      <c r="E66" s="25" t="n">
        <v>0</v>
      </c>
      <c r="F66" s="26" t="n">
        <f aca="false">CHOOSE($C$3,C66,D66,E66)</f>
        <v>0</v>
      </c>
      <c r="G66" s="2" t="s">
        <v>242</v>
      </c>
    </row>
    <row r="67" customFormat="false" ht="15" hidden="false" customHeight="false" outlineLevel="0" collapsed="false">
      <c r="A67" s="6" t="s">
        <v>243</v>
      </c>
      <c r="B67" s="2" t="s">
        <v>129</v>
      </c>
      <c r="C67" s="28" t="n">
        <v>0.08</v>
      </c>
      <c r="D67" s="28" t="n">
        <v>0.08</v>
      </c>
      <c r="E67" s="28" t="n">
        <v>0.08</v>
      </c>
      <c r="F67" s="26" t="n">
        <f aca="false">CHOOSE($C$3,C67,D67,E67)</f>
        <v>0.08</v>
      </c>
      <c r="G67" s="2" t="s">
        <v>244</v>
      </c>
    </row>
    <row r="68" customFormat="false" ht="15" hidden="false" customHeight="false" outlineLevel="0" collapsed="false">
      <c r="A68" s="6" t="s">
        <v>245</v>
      </c>
      <c r="B68" s="2" t="s">
        <v>129</v>
      </c>
      <c r="C68" s="28" t="n">
        <v>0.8</v>
      </c>
      <c r="D68" s="28" t="n">
        <v>0.8</v>
      </c>
      <c r="E68" s="28" t="n">
        <v>0.8</v>
      </c>
      <c r="F68" s="26" t="n">
        <f aca="false">CHOOSE($C$3,C68,D68,E68)</f>
        <v>0.8</v>
      </c>
      <c r="G68" s="2" t="s">
        <v>246</v>
      </c>
    </row>
    <row r="69" customFormat="false" ht="15" hidden="false" customHeight="false" outlineLevel="0" collapsed="false">
      <c r="A69" s="6" t="s">
        <v>247</v>
      </c>
      <c r="B69" s="2" t="s">
        <v>129</v>
      </c>
      <c r="C69" s="25" t="n">
        <v>0.01</v>
      </c>
      <c r="D69" s="25" t="n">
        <v>0.01</v>
      </c>
      <c r="E69" s="25" t="n">
        <v>0.01</v>
      </c>
      <c r="F69" s="26" t="n">
        <f aca="false">CHOOSE($C$3,C69,D69,E69)</f>
        <v>0.01</v>
      </c>
      <c r="G69" s="2" t="s">
        <v>248</v>
      </c>
    </row>
    <row r="70" customFormat="false" ht="15" hidden="false" customHeight="false" outlineLevel="0" collapsed="false">
      <c r="A70" s="17" t="s">
        <v>249</v>
      </c>
      <c r="B70" s="18"/>
      <c r="C70" s="18"/>
      <c r="D70" s="18"/>
      <c r="E70" s="18"/>
      <c r="F70" s="18"/>
      <c r="G70" s="18"/>
    </row>
    <row r="71" customFormat="false" ht="15" hidden="false" customHeight="false" outlineLevel="0" collapsed="false">
      <c r="A71" s="6" t="s">
        <v>250</v>
      </c>
      <c r="B71" s="2" t="s">
        <v>238</v>
      </c>
      <c r="C71" s="19" t="n">
        <v>2036</v>
      </c>
      <c r="D71" s="19" t="n">
        <v>2036</v>
      </c>
      <c r="E71" s="19" t="n">
        <v>2036</v>
      </c>
      <c r="F71" s="34" t="n">
        <f aca="false">CHOOSE($C$3,C71,D71,E71)</f>
        <v>2036</v>
      </c>
      <c r="G71" s="2" t="s">
        <v>251</v>
      </c>
    </row>
    <row r="72" customFormat="false" ht="15" hidden="false" customHeight="false" outlineLevel="0" collapsed="false">
      <c r="A72" s="6" t="s">
        <v>252</v>
      </c>
      <c r="B72" s="2" t="s">
        <v>253</v>
      </c>
      <c r="C72" s="35" t="n">
        <v>5</v>
      </c>
      <c r="D72" s="35" t="n">
        <v>6</v>
      </c>
      <c r="E72" s="35" t="n">
        <v>6.5</v>
      </c>
      <c r="F72" s="36" t="n">
        <f aca="false">CHOOSE($C$3,C72,D72,E72)</f>
        <v>6</v>
      </c>
      <c r="G72" s="2" t="s">
        <v>254</v>
      </c>
    </row>
    <row r="73" customFormat="false" ht="15" hidden="false" customHeight="false" outlineLevel="0" collapsed="false">
      <c r="A73" s="6" t="s">
        <v>255</v>
      </c>
      <c r="B73" s="2" t="s">
        <v>129</v>
      </c>
      <c r="C73" s="25" t="n">
        <v>0.03</v>
      </c>
      <c r="D73" s="25" t="n">
        <v>0.02</v>
      </c>
      <c r="E73" s="25" t="n">
        <v>0.02</v>
      </c>
      <c r="F73" s="26" t="n">
        <f aca="false">CHOOSE($C$3,C73,D73,E73)</f>
        <v>0.02</v>
      </c>
      <c r="G73" s="2" t="s">
        <v>256</v>
      </c>
    </row>
    <row r="74" customFormat="false" ht="15" hidden="false" customHeight="false" outlineLevel="0" collapsed="false">
      <c r="A74" s="6" t="s">
        <v>257</v>
      </c>
      <c r="B74" s="2" t="s">
        <v>129</v>
      </c>
      <c r="C74" s="28" t="n">
        <v>0.08</v>
      </c>
      <c r="D74" s="28" t="n">
        <v>0.06</v>
      </c>
      <c r="E74" s="28" t="n">
        <v>0.045</v>
      </c>
      <c r="F74" s="26" t="n">
        <f aca="false">CHOOSE($C$3,C74,D74,E74)</f>
        <v>0.06</v>
      </c>
      <c r="G74" s="2" t="s">
        <v>258</v>
      </c>
    </row>
    <row r="75" customFormat="false" ht="15" hidden="false" customHeight="false" outlineLevel="0" collapsed="false">
      <c r="A75" s="6" t="s">
        <v>259</v>
      </c>
      <c r="B75" s="2" t="s">
        <v>129</v>
      </c>
      <c r="C75" s="25" t="n">
        <v>0.37</v>
      </c>
      <c r="D75" s="25" t="n">
        <v>0.37</v>
      </c>
      <c r="E75" s="25" t="n">
        <v>0.37</v>
      </c>
      <c r="F75" s="26" t="n">
        <f aca="false">CHOOSE($C$3,C75,D75,E75)</f>
        <v>0.37</v>
      </c>
      <c r="G75" s="2" t="s">
        <v>260</v>
      </c>
    </row>
    <row r="76" customFormat="false" ht="15" hidden="false" customHeight="false" outlineLevel="0" collapsed="false">
      <c r="A76" s="6" t="s">
        <v>261</v>
      </c>
      <c r="B76" s="2" t="s">
        <v>129</v>
      </c>
      <c r="C76" s="25" t="n">
        <v>0.238</v>
      </c>
      <c r="D76" s="25" t="n">
        <v>0.238</v>
      </c>
      <c r="E76" s="25" t="n">
        <v>0.238</v>
      </c>
      <c r="F76" s="26" t="n">
        <f aca="false">CHOOSE($C$3,C76,D76,E76)</f>
        <v>0.238</v>
      </c>
      <c r="G76" s="2" t="s">
        <v>262</v>
      </c>
    </row>
    <row r="77" customFormat="false" ht="15" hidden="false" customHeight="false" outlineLevel="0" collapsed="false">
      <c r="A77" s="6" t="s">
        <v>263</v>
      </c>
      <c r="B77" s="2" t="s">
        <v>129</v>
      </c>
      <c r="C77" s="25" t="n">
        <v>1</v>
      </c>
      <c r="D77" s="25" t="n">
        <v>1</v>
      </c>
      <c r="E77" s="25" t="n">
        <v>1</v>
      </c>
      <c r="F77" s="26" t="n">
        <f aca="false">CHOOSE($C$3,C77,D77,E77)</f>
        <v>1</v>
      </c>
      <c r="G77" s="2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8" min="3" style="0" width="14"/>
  </cols>
  <sheetData>
    <row r="1" customFormat="false" ht="17.35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4" customFormat="false" ht="15" hidden="false" customHeight="false" outlineLevel="0" collapsed="false">
      <c r="A4" s="4"/>
      <c r="B4" s="5"/>
      <c r="C4" s="5" t="s">
        <v>267</v>
      </c>
      <c r="D4" s="5" t="s">
        <v>268</v>
      </c>
      <c r="E4" s="5" t="s">
        <v>269</v>
      </c>
      <c r="F4" s="5" t="s">
        <v>270</v>
      </c>
      <c r="G4" s="5" t="s">
        <v>271</v>
      </c>
      <c r="H4" s="5" t="s">
        <v>272</v>
      </c>
    </row>
    <row r="5" customFormat="false" ht="15" hidden="false" customHeight="false" outlineLevel="0" collapsed="false">
      <c r="A5" s="11" t="s">
        <v>273</v>
      </c>
      <c r="C5" s="28" t="n">
        <v>0.6</v>
      </c>
      <c r="D5" s="28" t="n">
        <v>0.7</v>
      </c>
      <c r="E5" s="28" t="n">
        <v>0.75</v>
      </c>
      <c r="F5" s="28" t="n">
        <v>0.8</v>
      </c>
      <c r="G5" s="28" t="n">
        <v>0.85</v>
      </c>
      <c r="H5" s="28" t="n">
        <v>0.9</v>
      </c>
    </row>
    <row r="6" customFormat="false" ht="15" hidden="false" customHeight="false" outlineLevel="0" collapsed="false">
      <c r="A6" s="6" t="s">
        <v>58</v>
      </c>
      <c r="C6" s="14" t="n">
        <f aca="false">Assumptions!$F$7</f>
        <v>11500000</v>
      </c>
      <c r="D6" s="14" t="n">
        <f aca="false">Assumptions!$F$7</f>
        <v>11500000</v>
      </c>
      <c r="E6" s="14" t="n">
        <f aca="false">Assumptions!$F$7</f>
        <v>11500000</v>
      </c>
      <c r="F6" s="14" t="n">
        <f aca="false">Assumptions!$F$7</f>
        <v>11500000</v>
      </c>
      <c r="G6" s="14" t="n">
        <f aca="false">Assumptions!$F$7</f>
        <v>11500000</v>
      </c>
      <c r="H6" s="14" t="n">
        <f aca="false">Assumptions!$F$7</f>
        <v>11500000</v>
      </c>
    </row>
    <row r="7" customFormat="false" ht="15" hidden="false" customHeight="false" outlineLevel="0" collapsed="false">
      <c r="A7" s="6" t="s">
        <v>274</v>
      </c>
      <c r="C7" s="37" t="n">
        <f aca="false">C6*C5</f>
        <v>6900000</v>
      </c>
      <c r="D7" s="37" t="n">
        <f aca="false">D6*D5</f>
        <v>8050000</v>
      </c>
      <c r="E7" s="37" t="n">
        <f aca="false">E6*E5</f>
        <v>8625000</v>
      </c>
      <c r="F7" s="37" t="n">
        <f aca="false">F6*F5</f>
        <v>9200000</v>
      </c>
      <c r="G7" s="37" t="n">
        <f aca="false">G6*G5</f>
        <v>9775000</v>
      </c>
      <c r="H7" s="37" t="n">
        <f aca="false">H6*H5</f>
        <v>10350000</v>
      </c>
    </row>
    <row r="8" customFormat="false" ht="15" hidden="false" customHeight="false" outlineLevel="0" collapsed="false">
      <c r="A8" s="6" t="s">
        <v>275</v>
      </c>
      <c r="C8" s="37" t="n">
        <f aca="false">C6-C7</f>
        <v>4600000</v>
      </c>
      <c r="D8" s="37" t="n">
        <f aca="false">D6-D7</f>
        <v>3450000</v>
      </c>
      <c r="E8" s="37" t="n">
        <f aca="false">E6-E7</f>
        <v>2875000</v>
      </c>
      <c r="F8" s="37" t="n">
        <f aca="false">F6-F7</f>
        <v>2300000</v>
      </c>
      <c r="G8" s="37" t="n">
        <f aca="false">G6-G7</f>
        <v>1725000</v>
      </c>
      <c r="H8" s="37" t="n">
        <f aca="false">H6-H7</f>
        <v>1150000</v>
      </c>
    </row>
    <row r="9" customFormat="false" ht="15" hidden="false" customHeight="false" outlineLevel="0" collapsed="false">
      <c r="A9" s="6" t="s">
        <v>276</v>
      </c>
      <c r="C9" s="14" t="n">
        <f aca="false">Assumptions!$F$9+Assumptions!$F$10+Assumptions!$F$11+Assumptions!$F$12+Assumptions!$F$13+Assumptions!$F$14+Assumptions!$F$15+Assumptions!$F$16+Assumptions!$F$7*Assumptions!$F$69</f>
        <v>1190000</v>
      </c>
      <c r="D9" s="14" t="n">
        <f aca="false">Assumptions!$F$9+Assumptions!$F$10+Assumptions!$F$11+Assumptions!$F$12+Assumptions!$F$13+Assumptions!$F$14+Assumptions!$F$15+Assumptions!$F$16+Assumptions!$F$7*Assumptions!$F$69</f>
        <v>1190000</v>
      </c>
      <c r="E9" s="14" t="n">
        <f aca="false">Assumptions!$F$9+Assumptions!$F$10+Assumptions!$F$11+Assumptions!$F$12+Assumptions!$F$13+Assumptions!$F$14+Assumptions!$F$15+Assumptions!$F$16+Assumptions!$F$7*Assumptions!$F$69</f>
        <v>1190000</v>
      </c>
      <c r="F9" s="14" t="n">
        <f aca="false">Assumptions!$F$9+Assumptions!$F$10+Assumptions!$F$11+Assumptions!$F$12+Assumptions!$F$13+Assumptions!$F$14+Assumptions!$F$15+Assumptions!$F$16+Assumptions!$F$7*Assumptions!$F$69</f>
        <v>1190000</v>
      </c>
      <c r="G9" s="14" t="n">
        <f aca="false">Assumptions!$F$9+Assumptions!$F$10+Assumptions!$F$11+Assumptions!$F$12+Assumptions!$F$13+Assumptions!$F$14+Assumptions!$F$15+Assumptions!$F$16+Assumptions!$F$7*Assumptions!$F$69</f>
        <v>1190000</v>
      </c>
      <c r="H9" s="14" t="n">
        <f aca="false">Assumptions!$F$9+Assumptions!$F$10+Assumptions!$F$11+Assumptions!$F$12+Assumptions!$F$13+Assumptions!$F$14+Assumptions!$F$15+Assumptions!$F$16+Assumptions!$F$7*Assumptions!$F$69</f>
        <v>1190000</v>
      </c>
    </row>
    <row r="10" customFormat="false" ht="15" hidden="false" customHeight="false" outlineLevel="0" collapsed="false">
      <c r="A10" s="6" t="s">
        <v>277</v>
      </c>
      <c r="C10" s="14" t="n">
        <f aca="false">'Unit Economics'!$F$40</f>
        <v>710500</v>
      </c>
      <c r="D10" s="14" t="n">
        <f aca="false">'Unit Economics'!$F$40</f>
        <v>710500</v>
      </c>
      <c r="E10" s="14" t="n">
        <f aca="false">'Unit Economics'!$F$40</f>
        <v>710500</v>
      </c>
      <c r="F10" s="14" t="n">
        <f aca="false">'Unit Economics'!$F$40</f>
        <v>710500</v>
      </c>
      <c r="G10" s="14" t="n">
        <f aca="false">'Unit Economics'!$F$40</f>
        <v>710500</v>
      </c>
      <c r="H10" s="14" t="n">
        <f aca="false">'Unit Economics'!$F$40</f>
        <v>710500</v>
      </c>
    </row>
    <row r="11" customFormat="false" ht="15" hidden="false" customHeight="false" outlineLevel="0" collapsed="false">
      <c r="A11" s="11" t="s">
        <v>278</v>
      </c>
      <c r="C11" s="15" t="n">
        <f aca="false">SUM(C8:C10)</f>
        <v>6500500</v>
      </c>
      <c r="D11" s="15" t="n">
        <f aca="false">SUM(D8:D10)</f>
        <v>5350500</v>
      </c>
      <c r="E11" s="15" t="n">
        <f aca="false">SUM(E8:E10)</f>
        <v>4775500</v>
      </c>
      <c r="F11" s="15" t="n">
        <f aca="false">SUM(F8:F10)</f>
        <v>4200500</v>
      </c>
      <c r="G11" s="15" t="n">
        <f aca="false">SUM(G8:G10)</f>
        <v>3625500</v>
      </c>
      <c r="H11" s="15" t="n">
        <f aca="false">SUM(H8:H10)</f>
        <v>3050500</v>
      </c>
    </row>
    <row r="13" customFormat="false" ht="15" hidden="false" customHeight="false" outlineLevel="0" collapsed="false">
      <c r="A13" s="6" t="s">
        <v>279</v>
      </c>
      <c r="C13" s="14" t="n">
        <f aca="false">PMT(Assumptions!$F$19,Assumptions!$F$20,-C7)</f>
        <v>769589.090981238</v>
      </c>
      <c r="D13" s="14" t="n">
        <f aca="false">PMT(Assumptions!$F$19,Assumptions!$F$20,-D7)</f>
        <v>897853.939478111</v>
      </c>
      <c r="E13" s="14" t="n">
        <f aca="false">PMT(Assumptions!$F$19,Assumptions!$F$20,-E7)</f>
        <v>961986.363726547</v>
      </c>
      <c r="F13" s="14" t="n">
        <f aca="false">PMT(Assumptions!$F$19,Assumptions!$F$20,-F7)</f>
        <v>1026118.78797498</v>
      </c>
      <c r="G13" s="14" t="n">
        <f aca="false">PMT(Assumptions!$F$19,Assumptions!$F$20,-G7)</f>
        <v>1090251.21222342</v>
      </c>
      <c r="H13" s="14" t="n">
        <f aca="false">PMT(Assumptions!$F$19,Assumptions!$F$20,-H7)</f>
        <v>1154383.63647186</v>
      </c>
    </row>
    <row r="14" customFormat="false" ht="15" hidden="false" customHeight="false" outlineLevel="0" collapsed="false">
      <c r="A14" s="6" t="s">
        <v>280</v>
      </c>
      <c r="C14" s="37" t="n">
        <f aca="false">C13/12</f>
        <v>64132.4242484365</v>
      </c>
      <c r="D14" s="37" t="n">
        <f aca="false">D13/12</f>
        <v>74821.1616231759</v>
      </c>
      <c r="E14" s="37" t="n">
        <f aca="false">E13/12</f>
        <v>80165.5303105456</v>
      </c>
      <c r="F14" s="37" t="n">
        <f aca="false">F13/12</f>
        <v>85509.8989979153</v>
      </c>
      <c r="G14" s="37" t="n">
        <f aca="false">G13/12</f>
        <v>90854.267685285</v>
      </c>
      <c r="H14" s="37" t="n">
        <f aca="false">H13/12</f>
        <v>96198.6363726547</v>
      </c>
    </row>
    <row r="15" customFormat="false" ht="15" hidden="false" customHeight="false" outlineLevel="0" collapsed="false">
      <c r="A15" s="6" t="s">
        <v>281</v>
      </c>
      <c r="C15" s="14" t="n">
        <f aca="false">'Unit Economics'!$F$25</f>
        <v>-1050830</v>
      </c>
      <c r="D15" s="14" t="n">
        <f aca="false">'Unit Economics'!$F$25</f>
        <v>-1050830</v>
      </c>
      <c r="E15" s="14" t="n">
        <f aca="false">'Unit Economics'!$F$25</f>
        <v>-1050830</v>
      </c>
      <c r="F15" s="14" t="n">
        <f aca="false">'Unit Economics'!$F$25</f>
        <v>-1050830</v>
      </c>
      <c r="G15" s="14" t="n">
        <f aca="false">'Unit Economics'!$F$25</f>
        <v>-1050830</v>
      </c>
      <c r="H15" s="14" t="n">
        <f aca="false">'Unit Economics'!$F$25</f>
        <v>-1050830</v>
      </c>
    </row>
    <row r="16" customFormat="false" ht="15" hidden="false" customHeight="false" outlineLevel="0" collapsed="false">
      <c r="A16" s="11" t="s">
        <v>92</v>
      </c>
      <c r="C16" s="15" t="n">
        <f aca="false">C15-C13</f>
        <v>-1820419.09098124</v>
      </c>
      <c r="D16" s="15" t="n">
        <f aca="false">D15-D13</f>
        <v>-1948683.93947811</v>
      </c>
      <c r="E16" s="15" t="n">
        <f aca="false">E15-E13</f>
        <v>-2012816.36372655</v>
      </c>
      <c r="F16" s="15" t="n">
        <f aca="false">F15-F13</f>
        <v>-2076948.78797498</v>
      </c>
      <c r="G16" s="15" t="n">
        <f aca="false">G15-G13</f>
        <v>-2141081.21222342</v>
      </c>
      <c r="H16" s="15" t="n">
        <f aca="false">H15-H13</f>
        <v>-2205213.63647186</v>
      </c>
    </row>
    <row r="17" customFormat="false" ht="15" hidden="false" customHeight="false" outlineLevel="0" collapsed="false">
      <c r="A17" s="6" t="s">
        <v>282</v>
      </c>
      <c r="C17" s="38" t="n">
        <f aca="false">IF(C13=0,0,C15/C13)</f>
        <v>-1.36544295171879</v>
      </c>
      <c r="D17" s="38" t="n">
        <f aca="false">IF(D13=0,0,D15/D13)</f>
        <v>-1.17037967290182</v>
      </c>
      <c r="E17" s="38" t="n">
        <f aca="false">IF(E13=0,0,E15/E13)</f>
        <v>-1.09235436137503</v>
      </c>
      <c r="F17" s="38" t="n">
        <f aca="false">IF(F13=0,0,F15/F13)</f>
        <v>-1.02408221378909</v>
      </c>
      <c r="G17" s="38" t="n">
        <f aca="false">IF(G13=0,0,G15/G13)</f>
        <v>-0.963842083566203</v>
      </c>
      <c r="H17" s="38" t="n">
        <f aca="false">IF(H13=0,0,H15/H13)</f>
        <v>-0.910295301145859</v>
      </c>
    </row>
    <row r="18" customFormat="false" ht="15" hidden="false" customHeight="false" outlineLevel="0" collapsed="false">
      <c r="A18" s="6" t="s">
        <v>283</v>
      </c>
      <c r="C18" s="16" t="n">
        <f aca="false">IF(C11=0,0,C16/C11)</f>
        <v>-0.280042933771439</v>
      </c>
      <c r="D18" s="16" t="n">
        <f aca="false">IF(D11=0,0,D16/D11)</f>
        <v>-0.364205950748175</v>
      </c>
      <c r="E18" s="16" t="n">
        <f aca="false">IF(E11=0,0,E16/E11)</f>
        <v>-0.421488087891644</v>
      </c>
      <c r="F18" s="16" t="n">
        <f aca="false">IF(F11=0,0,F16/F11)</f>
        <v>-0.494452752761572</v>
      </c>
      <c r="G18" s="16" t="n">
        <f aca="false">IF(G11=0,0,G16/G11)</f>
        <v>-0.590561636249737</v>
      </c>
      <c r="H18" s="16" t="n">
        <f aca="false">IF(H11=0,0,H16/H11)</f>
        <v>-0.722902355834079</v>
      </c>
    </row>
    <row r="19" customFormat="false" ht="15" hidden="false" customHeight="false" outlineLevel="0" collapsed="false">
      <c r="A19" s="11" t="s">
        <v>284</v>
      </c>
      <c r="C19" s="8" t="n">
        <f aca="false">IF('Unit Economics'!$F$35&lt;=0,0,(-'Unit Economics'!$F$23+C13)/'Unit Economics'!$F$35)</f>
        <v>3550.6752426959</v>
      </c>
      <c r="D19" s="8" t="n">
        <f aca="false">IF('Unit Economics'!$F$35&lt;=0,0,(-'Unit Economics'!$F$23+D13)/'Unit Economics'!$F$35)</f>
        <v>3758.57677198819</v>
      </c>
      <c r="E19" s="8" t="n">
        <f aca="false">IF('Unit Economics'!$F$35&lt;=0,0,(-'Unit Economics'!$F$23+E13)/'Unit Economics'!$F$35)</f>
        <v>3862.52753663433</v>
      </c>
      <c r="F19" s="8" t="n">
        <f aca="false">IF('Unit Economics'!$F$35&lt;=0,0,(-'Unit Economics'!$F$23+F13)/'Unit Economics'!$F$35)</f>
        <v>3966.47830128047</v>
      </c>
      <c r="G19" s="8" t="n">
        <f aca="false">IF('Unit Economics'!$F$35&lt;=0,0,(-'Unit Economics'!$F$23+G13)/'Unit Economics'!$F$35)</f>
        <v>4070.42906592661</v>
      </c>
      <c r="H19" s="8" t="n">
        <f aca="false">IF('Unit Economics'!$F$35&lt;=0,0,(-'Unit Economics'!$F$23+H13)/'Unit Economics'!$F$35)</f>
        <v>4174.37983057275</v>
      </c>
    </row>
    <row r="20" customFormat="false" ht="15" hidden="false" customHeight="false" outlineLevel="0" collapsed="false">
      <c r="A20" s="6" t="s">
        <v>285</v>
      </c>
      <c r="C20" s="14" t="n">
        <f aca="false">Assumptions!$F$7*Assumptions!$F$77</f>
        <v>11500000</v>
      </c>
      <c r="D20" s="14" t="n">
        <f aca="false">Assumptions!$F$7*Assumptions!$F$77</f>
        <v>11500000</v>
      </c>
      <c r="E20" s="14" t="n">
        <f aca="false">Assumptions!$F$7*Assumptions!$F$77</f>
        <v>11500000</v>
      </c>
      <c r="F20" s="14" t="n">
        <f aca="false">Assumptions!$F$7*Assumptions!$F$77</f>
        <v>11500000</v>
      </c>
      <c r="G20" s="14" t="n">
        <f aca="false">Assumptions!$F$7*Assumptions!$F$77</f>
        <v>11500000</v>
      </c>
      <c r="H20" s="14" t="n">
        <f aca="false">Assumptions!$F$7*Assumptions!$F$77</f>
        <v>11500000</v>
      </c>
    </row>
    <row r="21" customFormat="false" ht="15" hidden="false" customHeight="false" outlineLevel="0" collapsed="false">
      <c r="A21" s="11" t="s">
        <v>286</v>
      </c>
      <c r="C21" s="36" t="n">
        <f aca="false">IF(C11=0,0,C20/C11)</f>
        <v>1.76909468502423</v>
      </c>
      <c r="D21" s="36" t="n">
        <f aca="false">IF(D11=0,0,D20/D11)</f>
        <v>2.14933183814597</v>
      </c>
      <c r="E21" s="36" t="n">
        <f aca="false">IF(E11=0,0,E20/E11)</f>
        <v>2.40812480368548</v>
      </c>
      <c r="F21" s="36" t="n">
        <f aca="false">IF(F11=0,0,F20/F11)</f>
        <v>2.737769313177</v>
      </c>
      <c r="G21" s="36" t="n">
        <f aca="false">IF(G11=0,0,G20/G11)</f>
        <v>3.17197627913391</v>
      </c>
      <c r="H21" s="36" t="n">
        <f aca="false">IF(H11=0,0,H20/H11)</f>
        <v>3.76987379118177</v>
      </c>
    </row>
    <row r="23" customFormat="false" ht="15" hidden="false" customHeight="false" outlineLevel="0" collapsed="false">
      <c r="A23" s="11" t="s">
        <v>287</v>
      </c>
    </row>
    <row r="24" customFormat="false" ht="15" hidden="false" customHeight="false" outlineLevel="0" collapsed="false">
      <c r="A24" s="2" t="s">
        <v>288</v>
      </c>
    </row>
    <row r="25" customFormat="false" ht="15" hidden="false" customHeight="false" outlineLevel="0" collapsed="false">
      <c r="A25" s="2" t="s">
        <v>289</v>
      </c>
    </row>
    <row r="26" customFormat="false" ht="15" hidden="false" customHeight="false" outlineLevel="0" collapsed="false">
      <c r="A26" s="2" t="s">
        <v>290</v>
      </c>
    </row>
    <row r="27" customFormat="false" ht="15" hidden="false" customHeight="false" outlineLevel="0" collapsed="false">
      <c r="A27" s="2" t="s">
        <v>291</v>
      </c>
    </row>
    <row r="29" customFormat="false" ht="15" hidden="false" customHeight="false" outlineLevel="0" collapsed="false">
      <c r="A29" s="17" t="s">
        <v>292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4" t="s">
        <v>293</v>
      </c>
      <c r="B30" s="5"/>
      <c r="C30" s="39" t="n">
        <f aca="false">C5</f>
        <v>0.6</v>
      </c>
      <c r="D30" s="39" t="n">
        <f aca="false">D5</f>
        <v>0.7</v>
      </c>
      <c r="E30" s="39" t="n">
        <f aca="false">E5</f>
        <v>0.75</v>
      </c>
      <c r="F30" s="39" t="n">
        <f aca="false">F5</f>
        <v>0.8</v>
      </c>
      <c r="G30" s="39" t="n">
        <f aca="false">G5</f>
        <v>0.85</v>
      </c>
      <c r="H30" s="39" t="n">
        <f aca="false">H5</f>
        <v>0.9</v>
      </c>
    </row>
    <row r="31" customFormat="false" ht="15" hidden="false" customHeight="false" outlineLevel="0" collapsed="false">
      <c r="A31" s="29" t="n">
        <v>400</v>
      </c>
      <c r="C31" s="14" t="n">
        <f aca="false">$A31*'Unit Economics'!$F$35+'Unit Economics'!$F$23-C$13</f>
        <v>-1943809.09098124</v>
      </c>
      <c r="D31" s="14" t="n">
        <f aca="false">$A31*'Unit Economics'!$F$35+'Unit Economics'!$F$23-D$13</f>
        <v>-2072073.93947811</v>
      </c>
      <c r="E31" s="14" t="n">
        <f aca="false">$A31*'Unit Economics'!$F$35+'Unit Economics'!$F$23-E$13</f>
        <v>-2136206.36372655</v>
      </c>
      <c r="F31" s="14" t="n">
        <f aca="false">$A31*'Unit Economics'!$F$35+'Unit Economics'!$F$23-F$13</f>
        <v>-2200338.78797498</v>
      </c>
      <c r="G31" s="14" t="n">
        <f aca="false">$A31*'Unit Economics'!$F$35+'Unit Economics'!$F$23-G$13</f>
        <v>-2264471.21222342</v>
      </c>
      <c r="H31" s="14" t="n">
        <f aca="false">$A31*'Unit Economics'!$F$35+'Unit Economics'!$F$23-H$13</f>
        <v>-2328603.63647186</v>
      </c>
    </row>
    <row r="32" customFormat="false" ht="15" hidden="false" customHeight="false" outlineLevel="0" collapsed="false">
      <c r="A32" s="29" t="n">
        <v>500</v>
      </c>
      <c r="C32" s="14" t="n">
        <f aca="false">$A32*'Unit Economics'!$F$35+'Unit Economics'!$F$23-C$13</f>
        <v>-1882114.09098124</v>
      </c>
      <c r="D32" s="14" t="n">
        <f aca="false">$A32*'Unit Economics'!$F$35+'Unit Economics'!$F$23-D$13</f>
        <v>-2010378.93947811</v>
      </c>
      <c r="E32" s="14" t="n">
        <f aca="false">$A32*'Unit Economics'!$F$35+'Unit Economics'!$F$23-E$13</f>
        <v>-2074511.36372655</v>
      </c>
      <c r="F32" s="14" t="n">
        <f aca="false">$A32*'Unit Economics'!$F$35+'Unit Economics'!$F$23-F$13</f>
        <v>-2138643.78797498</v>
      </c>
      <c r="G32" s="14" t="n">
        <f aca="false">$A32*'Unit Economics'!$F$35+'Unit Economics'!$F$23-G$13</f>
        <v>-2202776.21222342</v>
      </c>
      <c r="H32" s="14" t="n">
        <f aca="false">$A32*'Unit Economics'!$F$35+'Unit Economics'!$F$23-H$13</f>
        <v>-2266908.63647186</v>
      </c>
    </row>
    <row r="33" customFormat="false" ht="15" hidden="false" customHeight="false" outlineLevel="0" collapsed="false">
      <c r="A33" s="29" t="n">
        <v>600</v>
      </c>
      <c r="C33" s="14" t="n">
        <f aca="false">$A33*'Unit Economics'!$F$35+'Unit Economics'!$F$23-C$13</f>
        <v>-1820419.09098124</v>
      </c>
      <c r="D33" s="14" t="n">
        <f aca="false">$A33*'Unit Economics'!$F$35+'Unit Economics'!$F$23-D$13</f>
        <v>-1948683.93947811</v>
      </c>
      <c r="E33" s="14" t="n">
        <f aca="false">$A33*'Unit Economics'!$F$35+'Unit Economics'!$F$23-E$13</f>
        <v>-2012816.36372655</v>
      </c>
      <c r="F33" s="14" t="n">
        <f aca="false">$A33*'Unit Economics'!$F$35+'Unit Economics'!$F$23-F$13</f>
        <v>-2076948.78797498</v>
      </c>
      <c r="G33" s="14" t="n">
        <f aca="false">$A33*'Unit Economics'!$F$35+'Unit Economics'!$F$23-G$13</f>
        <v>-2141081.21222342</v>
      </c>
      <c r="H33" s="14" t="n">
        <f aca="false">$A33*'Unit Economics'!$F$35+'Unit Economics'!$F$23-H$13</f>
        <v>-2205213.63647186</v>
      </c>
    </row>
    <row r="34" customFormat="false" ht="15" hidden="false" customHeight="false" outlineLevel="0" collapsed="false">
      <c r="A34" s="29" t="n">
        <v>700</v>
      </c>
      <c r="C34" s="14" t="n">
        <f aca="false">$A34*'Unit Economics'!$F$35+'Unit Economics'!$F$23-C$13</f>
        <v>-1758724.09098124</v>
      </c>
      <c r="D34" s="14" t="n">
        <f aca="false">$A34*'Unit Economics'!$F$35+'Unit Economics'!$F$23-D$13</f>
        <v>-1886988.93947811</v>
      </c>
      <c r="E34" s="14" t="n">
        <f aca="false">$A34*'Unit Economics'!$F$35+'Unit Economics'!$F$23-E$13</f>
        <v>-1951121.36372655</v>
      </c>
      <c r="F34" s="14" t="n">
        <f aca="false">$A34*'Unit Economics'!$F$35+'Unit Economics'!$F$23-F$13</f>
        <v>-2015253.78797498</v>
      </c>
      <c r="G34" s="14" t="n">
        <f aca="false">$A34*'Unit Economics'!$F$35+'Unit Economics'!$F$23-G$13</f>
        <v>-2079386.21222342</v>
      </c>
      <c r="H34" s="14" t="n">
        <f aca="false">$A34*'Unit Economics'!$F$35+'Unit Economics'!$F$23-H$13</f>
        <v>-2143518.63647186</v>
      </c>
    </row>
    <row r="35" customFormat="false" ht="15" hidden="false" customHeight="false" outlineLevel="0" collapsed="false">
      <c r="A35" s="29" t="n">
        <v>800</v>
      </c>
      <c r="C35" s="14" t="n">
        <f aca="false">$A35*'Unit Economics'!$F$35+'Unit Economics'!$F$23-C$13</f>
        <v>-1697029.09098124</v>
      </c>
      <c r="D35" s="14" t="n">
        <f aca="false">$A35*'Unit Economics'!$F$35+'Unit Economics'!$F$23-D$13</f>
        <v>-1825293.93947811</v>
      </c>
      <c r="E35" s="14" t="n">
        <f aca="false">$A35*'Unit Economics'!$F$35+'Unit Economics'!$F$23-E$13</f>
        <v>-1889426.36372655</v>
      </c>
      <c r="F35" s="14" t="n">
        <f aca="false">$A35*'Unit Economics'!$F$35+'Unit Economics'!$F$23-F$13</f>
        <v>-1953558.78797498</v>
      </c>
      <c r="G35" s="14" t="n">
        <f aca="false">$A35*'Unit Economics'!$F$35+'Unit Economics'!$F$23-G$13</f>
        <v>-2017691.21222342</v>
      </c>
      <c r="H35" s="14" t="n">
        <f aca="false">$A35*'Unit Economics'!$F$35+'Unit Economics'!$F$23-H$13</f>
        <v>-2081823.63647186</v>
      </c>
    </row>
    <row r="36" customFormat="false" ht="15" hidden="false" customHeight="false" outlineLevel="0" collapsed="false">
      <c r="A36" s="29" t="n">
        <v>900</v>
      </c>
      <c r="C36" s="14" t="n">
        <f aca="false">$A36*'Unit Economics'!$F$35+'Unit Economics'!$F$23-C$13</f>
        <v>-1635334.09098124</v>
      </c>
      <c r="D36" s="14" t="n">
        <f aca="false">$A36*'Unit Economics'!$F$35+'Unit Economics'!$F$23-D$13</f>
        <v>-1763598.93947811</v>
      </c>
      <c r="E36" s="14" t="n">
        <f aca="false">$A36*'Unit Economics'!$F$35+'Unit Economics'!$F$23-E$13</f>
        <v>-1827731.36372655</v>
      </c>
      <c r="F36" s="14" t="n">
        <f aca="false">$A36*'Unit Economics'!$F$35+'Unit Economics'!$F$23-F$13</f>
        <v>-1891863.78797498</v>
      </c>
      <c r="G36" s="14" t="n">
        <f aca="false">$A36*'Unit Economics'!$F$35+'Unit Economics'!$F$23-G$13</f>
        <v>-1955996.21222342</v>
      </c>
      <c r="H36" s="14" t="n">
        <f aca="false">$A36*'Unit Economics'!$F$35+'Unit Economics'!$F$23-H$13</f>
        <v>-2020128.63647186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15" hidden="false" customHeight="false" outlineLevel="0" collapsed="false">
      <c r="A4" s="4" t="s">
        <v>296</v>
      </c>
      <c r="B4" s="5"/>
      <c r="C4" s="5" t="s">
        <v>119</v>
      </c>
      <c r="D4" s="5" t="s">
        <v>120</v>
      </c>
      <c r="E4" s="5" t="s">
        <v>121</v>
      </c>
      <c r="F4" s="5" t="s">
        <v>122</v>
      </c>
    </row>
    <row r="5" customFormat="false" ht="15" hidden="false" customHeight="false" outlineLevel="0" collapsed="false">
      <c r="A5" s="6" t="s">
        <v>293</v>
      </c>
      <c r="C5" s="21" t="n">
        <f aca="false">Assumptions!$C$22</f>
        <v>500</v>
      </c>
      <c r="D5" s="21" t="n">
        <f aca="false">Assumptions!$D$22</f>
        <v>600</v>
      </c>
      <c r="E5" s="21" t="n">
        <f aca="false">Assumptions!$E$22</f>
        <v>700</v>
      </c>
      <c r="F5" s="21" t="n">
        <f aca="false">Assumptions!$F$22</f>
        <v>600</v>
      </c>
    </row>
    <row r="6" customFormat="false" ht="15" hidden="false" customHeight="false" outlineLevel="0" collapsed="false">
      <c r="A6" s="6" t="s">
        <v>297</v>
      </c>
      <c r="C6" s="14" t="n">
        <f aca="false">Assumptions!$C$26*Assumptions!$C$27+(1-Assumptions!$C$26)*Assumptions!$C$28</f>
        <v>6312.5</v>
      </c>
      <c r="D6" s="14" t="n">
        <f aca="false">Assumptions!$D$26*Assumptions!$D$27+(1-Assumptions!$D$26)*Assumptions!$D$28</f>
        <v>6812.5</v>
      </c>
      <c r="E6" s="14" t="n">
        <f aca="false">Assumptions!$E$26*Assumptions!$E$27+(1-Assumptions!$E$26)*Assumptions!$E$28</f>
        <v>7075</v>
      </c>
      <c r="F6" s="14" t="n">
        <f aca="false">Assumptions!$F$26*Assumptions!$F$27+(1-Assumptions!$F$26)*Assumptions!$F$28</f>
        <v>6812.5</v>
      </c>
    </row>
    <row r="7" customFormat="false" ht="15" hidden="false" customHeight="false" outlineLevel="0" collapsed="false">
      <c r="A7" s="11" t="s">
        <v>81</v>
      </c>
      <c r="C7" s="24" t="n">
        <f aca="false">C5*C6</f>
        <v>3156250</v>
      </c>
      <c r="D7" s="24" t="n">
        <f aca="false">D5*D6</f>
        <v>4087500</v>
      </c>
      <c r="E7" s="24" t="n">
        <f aca="false">E5*E6</f>
        <v>4952500</v>
      </c>
      <c r="F7" s="24" t="n">
        <f aca="false">F5*F6</f>
        <v>4087500</v>
      </c>
    </row>
    <row r="8" customFormat="false" ht="15" hidden="false" customHeight="false" outlineLevel="0" collapsed="false">
      <c r="A8" s="6" t="s">
        <v>298</v>
      </c>
      <c r="C8" s="14" t="n">
        <f aca="false">-C7*Assumptions!$C$50</f>
        <v>-378750</v>
      </c>
      <c r="D8" s="14" t="n">
        <f aca="false">-D7*Assumptions!$D$50</f>
        <v>-408750</v>
      </c>
      <c r="E8" s="14" t="n">
        <f aca="false">-E7*Assumptions!$E$50</f>
        <v>-396200</v>
      </c>
      <c r="F8" s="14" t="n">
        <f aca="false">-F7*Assumptions!$F$50</f>
        <v>-408750</v>
      </c>
    </row>
    <row r="9" customFormat="false" ht="15" hidden="false" customHeight="false" outlineLevel="0" collapsed="false">
      <c r="A9" s="11" t="s">
        <v>299</v>
      </c>
      <c r="C9" s="15" t="n">
        <f aca="false">C7+C8</f>
        <v>2777500</v>
      </c>
      <c r="D9" s="15" t="n">
        <f aca="false">D7+D8</f>
        <v>3678750</v>
      </c>
      <c r="E9" s="15" t="n">
        <f aca="false">E7+E8</f>
        <v>4556300</v>
      </c>
      <c r="F9" s="15" t="n">
        <f aca="false">F7+F8</f>
        <v>3678750</v>
      </c>
    </row>
    <row r="11" customFormat="false" ht="15" hidden="false" customHeight="false" outlineLevel="0" collapsed="false">
      <c r="A11" s="6" t="s">
        <v>300</v>
      </c>
      <c r="C11" s="21" t="n">
        <f aca="false">C5*(1+Assumptions!$C$30)</f>
        <v>575</v>
      </c>
      <c r="D11" s="21" t="n">
        <f aca="false">D5*(1+Assumptions!$D$30)</f>
        <v>660</v>
      </c>
      <c r="E11" s="21" t="n">
        <f aca="false">E5*(1+Assumptions!$E$30)</f>
        <v>756</v>
      </c>
      <c r="F11" s="21" t="n">
        <f aca="false">F5*(1+Assumptions!$F$30)</f>
        <v>660</v>
      </c>
    </row>
    <row r="12" customFormat="false" ht="15" hidden="false" customHeight="false" outlineLevel="0" collapsed="false">
      <c r="A12" s="6" t="s">
        <v>301</v>
      </c>
      <c r="C12" s="14" t="n">
        <f aca="false">Assumptions!$C$32*Assumptions!$C$33+(Assumptions!$C$34+Assumptions!$C$35+Assumptions!$C$36)*(1+Assumptions!$C$37)+Assumptions!$C$38</f>
        <v>5710.75</v>
      </c>
      <c r="D12" s="14" t="n">
        <f aca="false">Assumptions!$D$32*Assumptions!$D$33+(Assumptions!$D$34+Assumptions!$D$35+Assumptions!$D$36)*(1+Assumptions!$D$37)+Assumptions!$D$38</f>
        <v>5013</v>
      </c>
      <c r="E12" s="14" t="n">
        <f aca="false">Assumptions!$E$32*Assumptions!$E$33+(Assumptions!$E$34+Assumptions!$E$35+Assumptions!$E$36)*(1+Assumptions!$E$37)+Assumptions!$E$38</f>
        <v>4418.85</v>
      </c>
      <c r="F12" s="14" t="n">
        <f aca="false">Assumptions!$F$32*Assumptions!$F$33+(Assumptions!$F$34+Assumptions!$F$35+Assumptions!$F$36)*(1+Assumptions!$F$37)+Assumptions!$F$38</f>
        <v>5013</v>
      </c>
    </row>
    <row r="13" customFormat="false" ht="15" hidden="false" customHeight="false" outlineLevel="0" collapsed="false">
      <c r="A13" s="6" t="s">
        <v>302</v>
      </c>
      <c r="C13" s="37" t="n">
        <f aca="false">-C11*C12</f>
        <v>-3283681.25</v>
      </c>
      <c r="D13" s="37" t="n">
        <f aca="false">-D11*D12</f>
        <v>-3308580</v>
      </c>
      <c r="E13" s="37" t="n">
        <f aca="false">-E11*E12</f>
        <v>-3340650.6</v>
      </c>
      <c r="F13" s="37" t="n">
        <f aca="false">-F11*F12</f>
        <v>-3308580</v>
      </c>
    </row>
    <row r="15" customFormat="false" ht="15" hidden="false" customHeight="false" outlineLevel="0" collapsed="false">
      <c r="A15" s="6" t="s">
        <v>303</v>
      </c>
      <c r="C15" s="14" t="n">
        <f aca="false">-((Assumptions!$C$40*Assumptions!$C$42+Assumptions!$C$41*Assumptions!$C$43)*(1+Assumptions!$C$44)+Assumptions!$C$45)</f>
        <v>-781200</v>
      </c>
      <c r="D15" s="14" t="n">
        <f aca="false">-((Assumptions!$D$40*Assumptions!$D$42+Assumptions!$D$41*Assumptions!$D$43)*(1+Assumptions!$D$44)+Assumptions!$D$45)</f>
        <v>-685000</v>
      </c>
      <c r="E15" s="14" t="n">
        <f aca="false">-((Assumptions!$E$40*Assumptions!$E$42+Assumptions!$E$41*Assumptions!$E$43)*(1+Assumptions!$E$44)+Assumptions!$E$45)</f>
        <v>-613400</v>
      </c>
      <c r="F15" s="14" t="n">
        <f aca="false">-((Assumptions!$F$40*Assumptions!$F$42+Assumptions!$F$41*Assumptions!$F$43)*(1+Assumptions!$F$44)+Assumptions!$F$45)</f>
        <v>-685000</v>
      </c>
    </row>
    <row r="16" customFormat="false" ht="15" hidden="false" customHeight="false" outlineLevel="0" collapsed="false">
      <c r="A16" s="6" t="s">
        <v>304</v>
      </c>
      <c r="C16" s="14" t="n">
        <f aca="false">-(Assumptions!$C$40+Assumptions!$C$41)*Assumptions!$C$46</f>
        <v>-165000</v>
      </c>
      <c r="D16" s="14" t="n">
        <f aca="false">-(Assumptions!$D$40+Assumptions!$D$41)*Assumptions!$D$46</f>
        <v>-135000</v>
      </c>
      <c r="E16" s="14" t="n">
        <f aca="false">-(Assumptions!$E$40+Assumptions!$E$41)*Assumptions!$E$46</f>
        <v>-120000</v>
      </c>
      <c r="F16" s="14" t="n">
        <f aca="false">-(Assumptions!$F$40+Assumptions!$F$41)*Assumptions!$F$46</f>
        <v>-135000</v>
      </c>
    </row>
    <row r="17" customFormat="false" ht="15" hidden="false" customHeight="false" outlineLevel="0" collapsed="false">
      <c r="A17" s="6" t="s">
        <v>305</v>
      </c>
      <c r="C17" s="14" t="n">
        <f aca="false">-Assumptions!$C$47</f>
        <v>-84000</v>
      </c>
      <c r="D17" s="14" t="n">
        <f aca="false">-Assumptions!$D$47</f>
        <v>-66000</v>
      </c>
      <c r="E17" s="14" t="n">
        <f aca="false">-Assumptions!$E$47</f>
        <v>-54000</v>
      </c>
      <c r="F17" s="14" t="n">
        <f aca="false">-Assumptions!$F$47</f>
        <v>-66000</v>
      </c>
    </row>
    <row r="18" customFormat="false" ht="15" hidden="false" customHeight="false" outlineLevel="0" collapsed="false">
      <c r="A18" s="6" t="s">
        <v>306</v>
      </c>
      <c r="C18" s="14" t="n">
        <f aca="false">-Assumptions!$C$48</f>
        <v>-110000</v>
      </c>
      <c r="D18" s="14" t="n">
        <f aca="false">-Assumptions!$D$48</f>
        <v>-85000</v>
      </c>
      <c r="E18" s="14" t="n">
        <f aca="false">-Assumptions!$E$48</f>
        <v>-70000</v>
      </c>
      <c r="F18" s="14" t="n">
        <f aca="false">-Assumptions!$F$48</f>
        <v>-85000</v>
      </c>
    </row>
    <row r="19" customFormat="false" ht="15" hidden="false" customHeight="false" outlineLevel="0" collapsed="false">
      <c r="A19" s="6" t="s">
        <v>307</v>
      </c>
      <c r="C19" s="14" t="n">
        <f aca="false">-Assumptions!$C$49*12</f>
        <v>-132000</v>
      </c>
      <c r="D19" s="14" t="n">
        <f aca="false">-Assumptions!$D$49*12</f>
        <v>-120000</v>
      </c>
      <c r="E19" s="14" t="n">
        <f aca="false">-Assumptions!$E$49*12</f>
        <v>-102000</v>
      </c>
      <c r="F19" s="14" t="n">
        <f aca="false">-Assumptions!$F$49*12</f>
        <v>-120000</v>
      </c>
    </row>
    <row r="20" customFormat="false" ht="15" hidden="false" customHeight="false" outlineLevel="0" collapsed="false">
      <c r="A20" s="6" t="s">
        <v>308</v>
      </c>
      <c r="C20" s="14" t="n">
        <f aca="false">-Assumptions!$C$51</f>
        <v>-100000</v>
      </c>
      <c r="D20" s="14" t="n">
        <f aca="false">-Assumptions!$D$51</f>
        <v>-80000</v>
      </c>
      <c r="E20" s="14" t="n">
        <f aca="false">-Assumptions!$E$51</f>
        <v>-65000</v>
      </c>
      <c r="F20" s="14" t="n">
        <f aca="false">-Assumptions!$F$51</f>
        <v>-80000</v>
      </c>
    </row>
    <row r="21" customFormat="false" ht="15" hidden="false" customHeight="false" outlineLevel="0" collapsed="false">
      <c r="A21" s="6" t="s">
        <v>309</v>
      </c>
      <c r="C21" s="14" t="n">
        <f aca="false">-Assumptions!$C$52</f>
        <v>-200000</v>
      </c>
      <c r="D21" s="14" t="n">
        <f aca="false">-Assumptions!$D$52</f>
        <v>-150000</v>
      </c>
      <c r="E21" s="14" t="n">
        <f aca="false">-Assumptions!$E$52</f>
        <v>-100000</v>
      </c>
      <c r="F21" s="14" t="n">
        <f aca="false">-Assumptions!$F$52</f>
        <v>-150000</v>
      </c>
    </row>
    <row r="22" customFormat="false" ht="15" hidden="false" customHeight="false" outlineLevel="0" collapsed="false">
      <c r="A22" s="6" t="s">
        <v>89</v>
      </c>
      <c r="C22" s="14" t="n">
        <f aca="false">-Assumptions!$C$53</f>
        <v>-120000</v>
      </c>
      <c r="D22" s="14" t="n">
        <f aca="false">-Assumptions!$D$53</f>
        <v>-100000</v>
      </c>
      <c r="E22" s="14" t="n">
        <f aca="false">-Assumptions!$E$53</f>
        <v>-85000</v>
      </c>
      <c r="F22" s="14" t="n">
        <f aca="false">-Assumptions!$F$53</f>
        <v>-100000</v>
      </c>
    </row>
    <row r="23" customFormat="false" ht="15" hidden="false" customHeight="false" outlineLevel="0" collapsed="false">
      <c r="A23" s="11" t="s">
        <v>310</v>
      </c>
      <c r="C23" s="15" t="n">
        <f aca="false">SUM(C15:C22)</f>
        <v>-1692200</v>
      </c>
      <c r="D23" s="15" t="n">
        <f aca="false">SUM(D15:D22)</f>
        <v>-1421000</v>
      </c>
      <c r="E23" s="15" t="n">
        <f aca="false">SUM(E15:E22)</f>
        <v>-1209400</v>
      </c>
      <c r="F23" s="15" t="n">
        <f aca="false">SUM(F15:F22)</f>
        <v>-1421000</v>
      </c>
    </row>
    <row r="25" customFormat="false" ht="15" hidden="false" customHeight="false" outlineLevel="0" collapsed="false">
      <c r="A25" s="11" t="s">
        <v>311</v>
      </c>
      <c r="C25" s="24" t="n">
        <f aca="false">C9+C13+C23</f>
        <v>-2198381.25</v>
      </c>
      <c r="D25" s="24" t="n">
        <f aca="false">D9+D13+D23</f>
        <v>-1050830</v>
      </c>
      <c r="E25" s="24" t="n">
        <f aca="false">E9+E13+E23</f>
        <v>6249.39999999991</v>
      </c>
      <c r="F25" s="24" t="n">
        <f aca="false">F9+F13+F23</f>
        <v>-1050830</v>
      </c>
    </row>
    <row r="26" customFormat="false" ht="15" hidden="false" customHeight="false" outlineLevel="0" collapsed="false">
      <c r="A26" s="6" t="s">
        <v>312</v>
      </c>
      <c r="C26" s="16" t="n">
        <f aca="false">IF(C7=0,0,C25/C7)</f>
        <v>-0.696516831683168</v>
      </c>
      <c r="D26" s="16" t="n">
        <f aca="false">IF(D7=0,0,D25/D7)</f>
        <v>-0.25708379204893</v>
      </c>
      <c r="E26" s="16" t="n">
        <f aca="false">IF(E7=0,0,E25/E7)</f>
        <v>0.00126186774356384</v>
      </c>
      <c r="F26" s="16" t="n">
        <f aca="false">IF(F7=0,0,F25/F7)</f>
        <v>-0.25708379204893</v>
      </c>
    </row>
    <row r="28" customFormat="false" ht="15" hidden="false" customHeight="false" outlineLevel="0" collapsed="false">
      <c r="A28" s="6" t="s">
        <v>313</v>
      </c>
      <c r="C28" s="14" t="n">
        <f aca="false">Assumptions!$C$7*Assumptions!$C$18</f>
        <v>10000000</v>
      </c>
      <c r="D28" s="14" t="n">
        <f aca="false">Assumptions!$D$7*Assumptions!$D$18</f>
        <v>9200000</v>
      </c>
      <c r="E28" s="14" t="n">
        <f aca="false">Assumptions!$E$7*Assumptions!$E$18</f>
        <v>8400000</v>
      </c>
      <c r="F28" s="14" t="n">
        <f aca="false">Assumptions!$F$7*Assumptions!$F$18</f>
        <v>9200000</v>
      </c>
    </row>
    <row r="29" customFormat="false" ht="15" hidden="false" customHeight="false" outlineLevel="0" collapsed="false">
      <c r="A29" s="6" t="s">
        <v>279</v>
      </c>
      <c r="C29" s="14" t="n">
        <f aca="false">-PMT(Assumptions!$C$19,Assumptions!$C$20,-C28)</f>
        <v>-1168295.4493602</v>
      </c>
      <c r="D29" s="14" t="n">
        <f aca="false">-PMT(Assumptions!$D$19,Assumptions!$D$20,-D28)</f>
        <v>-1026118.78797498</v>
      </c>
      <c r="E29" s="14" t="n">
        <f aca="false">-PMT(Assumptions!$E$19,Assumptions!$E$20,-E28)</f>
        <v>-777560.242825435</v>
      </c>
      <c r="F29" s="14" t="n">
        <f aca="false">-PMT(Assumptions!$F$19,Assumptions!$F$20,-F28)</f>
        <v>-1026118.78797498</v>
      </c>
    </row>
    <row r="30" customFormat="false" ht="15" hidden="false" customHeight="false" outlineLevel="0" collapsed="false">
      <c r="A30" s="11" t="s">
        <v>92</v>
      </c>
      <c r="C30" s="15" t="n">
        <f aca="false">C25+C29</f>
        <v>-3366676.6993602</v>
      </c>
      <c r="D30" s="15" t="n">
        <f aca="false">D25+D29</f>
        <v>-2076948.78797498</v>
      </c>
      <c r="E30" s="15" t="n">
        <f aca="false">E25+E29</f>
        <v>-771310.842825435</v>
      </c>
      <c r="F30" s="15" t="n">
        <f aca="false">F25+F29</f>
        <v>-2076948.78797498</v>
      </c>
    </row>
    <row r="31" customFormat="false" ht="15" hidden="false" customHeight="false" outlineLevel="0" collapsed="false">
      <c r="A31" s="6" t="s">
        <v>314</v>
      </c>
      <c r="C31" s="14" t="n">
        <f aca="false">-C28*Assumptions!$C$19</f>
        <v>-800000</v>
      </c>
      <c r="D31" s="14" t="n">
        <f aca="false">-D28*Assumptions!$D$19</f>
        <v>-667000</v>
      </c>
      <c r="E31" s="14" t="n">
        <f aca="false">-E28*Assumptions!$E$19</f>
        <v>-567000</v>
      </c>
      <c r="F31" s="14" t="n">
        <f aca="false">-F28*Assumptions!$F$19</f>
        <v>-667000</v>
      </c>
    </row>
    <row r="32" customFormat="false" ht="15" hidden="false" customHeight="false" outlineLevel="0" collapsed="false">
      <c r="A32" s="6" t="s">
        <v>315</v>
      </c>
      <c r="C32" s="14" t="n">
        <f aca="false">-Assumptions!$C$7*Assumptions!$C$74</f>
        <v>-1000000</v>
      </c>
      <c r="D32" s="14" t="n">
        <f aca="false">-Assumptions!$D$7*Assumptions!$D$74</f>
        <v>-690000</v>
      </c>
      <c r="E32" s="14" t="n">
        <f aca="false">-Assumptions!$E$7*Assumptions!$E$74</f>
        <v>-472500</v>
      </c>
      <c r="F32" s="14" t="n">
        <f aca="false">-Assumptions!$F$7*Assumptions!$F$74</f>
        <v>-690000</v>
      </c>
    </row>
    <row r="33" customFormat="false" ht="15" hidden="false" customHeight="false" outlineLevel="0" collapsed="false">
      <c r="A33" s="11" t="s">
        <v>316</v>
      </c>
      <c r="C33" s="24" t="n">
        <f aca="false">C25+C31+C32</f>
        <v>-3998381.25</v>
      </c>
      <c r="D33" s="24" t="n">
        <f aca="false">D25+D31+D32</f>
        <v>-2407830</v>
      </c>
      <c r="E33" s="24" t="n">
        <f aca="false">E25+E31+E32</f>
        <v>-1033250.6</v>
      </c>
      <c r="F33" s="24" t="n">
        <f aca="false">F25+F31+F32</f>
        <v>-2407830</v>
      </c>
    </row>
    <row r="35" customFormat="false" ht="15" hidden="false" customHeight="false" outlineLevel="0" collapsed="false">
      <c r="A35" s="6" t="s">
        <v>317</v>
      </c>
      <c r="C35" s="14" t="n">
        <f aca="false">C6*(1-Assumptions!$C$50)-C12*(1+Assumptions!$C$30)</f>
        <v>-1012.3625</v>
      </c>
      <c r="D35" s="14" t="n">
        <f aca="false">D6*(1-Assumptions!$D$50)-D12*(1+Assumptions!$D$30)</f>
        <v>616.95</v>
      </c>
      <c r="E35" s="14" t="n">
        <f aca="false">E6*(1-Assumptions!$E$50)-E12*(1+Assumptions!$E$30)</f>
        <v>1736.642</v>
      </c>
      <c r="F35" s="14" t="n">
        <f aca="false">F6*(1-Assumptions!$F$50)-F12*(1+Assumptions!$F$30)</f>
        <v>616.95</v>
      </c>
    </row>
    <row r="36" customFormat="false" ht="15" hidden="false" customHeight="false" outlineLevel="0" collapsed="false">
      <c r="A36" s="6" t="s">
        <v>318</v>
      </c>
      <c r="C36" s="40" t="n">
        <f aca="false">IF(C35&lt;=0,0,-C23/C35)</f>
        <v>0</v>
      </c>
      <c r="D36" s="40" t="n">
        <f aca="false">IF(D35&lt;=0,0,-D23/D35)</f>
        <v>2303.26606694222</v>
      </c>
      <c r="E36" s="40" t="n">
        <f aca="false">IF(E35&lt;=0,0,-E23/E35)</f>
        <v>696.401446009023</v>
      </c>
      <c r="F36" s="40" t="n">
        <f aca="false">IF(F35&lt;=0,0,-F23/F35)</f>
        <v>2303.26606694222</v>
      </c>
    </row>
    <row r="37" customFormat="false" ht="15" hidden="false" customHeight="false" outlineLevel="0" collapsed="false">
      <c r="A37" s="11" t="s">
        <v>284</v>
      </c>
      <c r="C37" s="30" t="n">
        <f aca="false">IF(C35&lt;=0,0,-(C23+C29)/C35)</f>
        <v>0</v>
      </c>
      <c r="D37" s="30" t="n">
        <f aca="false">IF(D35&lt;=0,0,-(D23+D29)/D35)</f>
        <v>3966.47830128047</v>
      </c>
      <c r="E37" s="30" t="n">
        <f aca="false">IF(E35&lt;=0,0,-(E23+E29)/E35)</f>
        <v>1144.13923124365</v>
      </c>
      <c r="F37" s="30" t="n">
        <f aca="false">IF(F35&lt;=0,0,-(F23+F29)/F35)</f>
        <v>3966.47830128047</v>
      </c>
    </row>
    <row r="38" customFormat="false" ht="15" hidden="false" customHeight="false" outlineLevel="0" collapsed="false">
      <c r="A38" s="6" t="s">
        <v>319</v>
      </c>
      <c r="C38" s="14" t="n">
        <f aca="false">IF(Assumptions!$C$26=0,0,((-C13-C23)/(C5*(1-Assumptions!$C$50))-(1-Assumptions!$C$26)*Assumptions!$C$28)/Assumptions!$C$26)</f>
        <v>11509.2852870813</v>
      </c>
      <c r="D38" s="14" t="n">
        <f aca="false">IF(Assumptions!$D$26=0,0,((-D13-D23)/(D5*(1-Assumptions!$D$50))-(1-Assumptions!$D$26)*Assumptions!$D$28)/Assumptions!$D$26)</f>
        <v>8798.40155945419</v>
      </c>
      <c r="E38" s="14" t="n">
        <f aca="false">IF(Assumptions!$E$26=0,0,((-E13-E23)/(E5*(1-Assumptions!$E$50))-(1-Assumptions!$E$26)*Assumptions!$E$28)/Assumptions!$E$26)</f>
        <v>6989.78522392939</v>
      </c>
      <c r="F38" s="14" t="n">
        <f aca="false">IF(Assumptions!$F$26=0,0,((-F13-F23)/(F5*(1-Assumptions!$F$50))-(1-Assumptions!$F$26)*Assumptions!$F$28)/Assumptions!$F$26)</f>
        <v>8798.40155945419</v>
      </c>
    </row>
    <row r="39" customFormat="false" ht="15" hidden="false" customHeight="false" outlineLevel="0" collapsed="false">
      <c r="A39" s="11" t="s">
        <v>320</v>
      </c>
      <c r="C39" s="7" t="n">
        <f aca="false">IF(Assumptions!$C$26=0,0,((-C13-C23-C29)/(C5*(1-Assumptions!$C$50))-(1-Assumptions!$C$26)*Assumptions!$C$28)/Assumptions!$C$26)</f>
        <v>14304.2504769383</v>
      </c>
      <c r="D39" s="7" t="n">
        <f aca="false">IF(Assumptions!$D$26=0,0,((-D13-D23-D29)/(D5*(1-Assumptions!$D$50))-(1-Assumptions!$D$26)*Assumptions!$D$28)/Assumptions!$D$26)</f>
        <v>10798.633114961</v>
      </c>
      <c r="E39" s="7" t="n">
        <f aca="false">IF(Assumptions!$E$26=0,0,((-E13-E23-E29)/(E5*(1-Assumptions!$E$50))-(1-Assumptions!$E$26)*Assumptions!$E$28)/Assumptions!$E$26)</f>
        <v>8260.72383593566</v>
      </c>
      <c r="F39" s="7" t="n">
        <f aca="false">IF(Assumptions!$F$26=0,0,((-F13-F23-F29)/(F5*(1-Assumptions!$F$50))-(1-Assumptions!$F$26)*Assumptions!$F$28)/Assumptions!$F$26)</f>
        <v>10798.633114961</v>
      </c>
    </row>
    <row r="40" customFormat="false" ht="15" hidden="false" customHeight="false" outlineLevel="0" collapsed="false">
      <c r="A40" s="6" t="s">
        <v>321</v>
      </c>
      <c r="C40" s="14" t="n">
        <f aca="false">-C23/12*Assumptions!$C$55</f>
        <v>846100</v>
      </c>
      <c r="D40" s="14" t="n">
        <f aca="false">-D23/12*Assumptions!$D$55</f>
        <v>710500</v>
      </c>
      <c r="E40" s="14" t="n">
        <f aca="false">-E23/12*Assumptions!$E$55</f>
        <v>503916.666666667</v>
      </c>
      <c r="F40" s="14" t="n">
        <f aca="false">-F23/12*Assumptions!$F$55</f>
        <v>710500</v>
      </c>
    </row>
    <row r="41" customFormat="false" ht="15" hidden="false" customHeight="false" outlineLevel="0" collapsed="false">
      <c r="A41" s="11" t="s">
        <v>322</v>
      </c>
      <c r="C41" s="8" t="n">
        <f aca="false">IF(C30&gt;=Assumptions!$C$63,1,0)</f>
        <v>0</v>
      </c>
      <c r="D41" s="8" t="n">
        <f aca="false">IF(D30&gt;=Assumptions!$D$63,1,0)</f>
        <v>0</v>
      </c>
      <c r="E41" s="8" t="n">
        <f aca="false">IF(E30&gt;=Assumptions!$E$63,1,0)</f>
        <v>0</v>
      </c>
      <c r="F41" s="8" t="n">
        <f aca="false">IF(F30&gt;=Assumptions!$F$63,1,0)</f>
        <v>0</v>
      </c>
    </row>
    <row r="43" customFormat="false" ht="15" hidden="false" customHeight="false" outlineLevel="0" collapsed="false">
      <c r="A43" s="17" t="s">
        <v>323</v>
      </c>
      <c r="B43" s="18"/>
      <c r="C43" s="18"/>
      <c r="D43" s="18"/>
      <c r="E43" s="18"/>
      <c r="F43" s="18"/>
    </row>
    <row r="44" customFormat="false" ht="15" hidden="false" customHeight="false" outlineLevel="0" collapsed="false">
      <c r="A44" s="4" t="s">
        <v>293</v>
      </c>
      <c r="B44" s="5"/>
      <c r="C44" s="5" t="s">
        <v>90</v>
      </c>
      <c r="D44" s="5" t="s">
        <v>91</v>
      </c>
      <c r="E44" s="5" t="s">
        <v>324</v>
      </c>
      <c r="F44" s="5" t="s">
        <v>325</v>
      </c>
    </row>
    <row r="45" customFormat="false" ht="15" hidden="false" customHeight="false" outlineLevel="0" collapsed="false">
      <c r="A45" s="29" t="n">
        <v>300</v>
      </c>
      <c r="C45" s="37" t="n">
        <f aca="false">A45*$F$35+$F$23</f>
        <v>-1235915</v>
      </c>
      <c r="D45" s="37" t="n">
        <f aca="false">$F$29</f>
        <v>-1026118.78797498</v>
      </c>
      <c r="E45" s="24" t="n">
        <f aca="false">C45+D45</f>
        <v>-2262033.78797498</v>
      </c>
      <c r="F45" s="37" t="n">
        <f aca="false">IF(A45=0,0,E45/A45)</f>
        <v>-7540.11262658328</v>
      </c>
    </row>
    <row r="46" customFormat="false" ht="15" hidden="false" customHeight="false" outlineLevel="0" collapsed="false">
      <c r="A46" s="29" t="n">
        <v>400</v>
      </c>
      <c r="C46" s="37" t="n">
        <f aca="false">A46*$F$35+$F$23</f>
        <v>-1174220</v>
      </c>
      <c r="D46" s="37" t="n">
        <f aca="false">$F$29</f>
        <v>-1026118.78797498</v>
      </c>
      <c r="E46" s="24" t="n">
        <f aca="false">C46+D46</f>
        <v>-2200338.78797498</v>
      </c>
      <c r="F46" s="37" t="n">
        <f aca="false">IF(A46=0,0,E46/A46)</f>
        <v>-5500.84696993746</v>
      </c>
    </row>
    <row r="47" customFormat="false" ht="15" hidden="false" customHeight="false" outlineLevel="0" collapsed="false">
      <c r="A47" s="29" t="n">
        <v>500</v>
      </c>
      <c r="C47" s="37" t="n">
        <f aca="false">A47*$F$35+$F$23</f>
        <v>-1112525</v>
      </c>
      <c r="D47" s="37" t="n">
        <f aca="false">$F$29</f>
        <v>-1026118.78797498</v>
      </c>
      <c r="E47" s="24" t="n">
        <f aca="false">C47+D47</f>
        <v>-2138643.78797498</v>
      </c>
      <c r="F47" s="37" t="n">
        <f aca="false">IF(A47=0,0,E47/A47)</f>
        <v>-4277.28757594997</v>
      </c>
    </row>
    <row r="48" customFormat="false" ht="15" hidden="false" customHeight="false" outlineLevel="0" collapsed="false">
      <c r="A48" s="29" t="n">
        <v>600</v>
      </c>
      <c r="C48" s="37" t="n">
        <f aca="false">A48*$F$35+$F$23</f>
        <v>-1050830</v>
      </c>
      <c r="D48" s="37" t="n">
        <f aca="false">$F$29</f>
        <v>-1026118.78797498</v>
      </c>
      <c r="E48" s="24" t="n">
        <f aca="false">C48+D48</f>
        <v>-2076948.78797498</v>
      </c>
      <c r="F48" s="37" t="n">
        <f aca="false">IF(A48=0,0,E48/A48)</f>
        <v>-3461.58131329164</v>
      </c>
    </row>
    <row r="49" customFormat="false" ht="15" hidden="false" customHeight="false" outlineLevel="0" collapsed="false">
      <c r="A49" s="29" t="n">
        <v>700</v>
      </c>
      <c r="C49" s="37" t="n">
        <f aca="false">A49*$F$35+$F$23</f>
        <v>-989135</v>
      </c>
      <c r="D49" s="37" t="n">
        <f aca="false">$F$29</f>
        <v>-1026118.78797498</v>
      </c>
      <c r="E49" s="24" t="n">
        <f aca="false">C49+D49</f>
        <v>-2015253.78797498</v>
      </c>
      <c r="F49" s="37" t="n">
        <f aca="false">IF(A49=0,0,E49/A49)</f>
        <v>-2878.93398282141</v>
      </c>
    </row>
    <row r="50" customFormat="false" ht="15" hidden="false" customHeight="false" outlineLevel="0" collapsed="false">
      <c r="A50" s="29" t="n">
        <v>800</v>
      </c>
      <c r="C50" s="37" t="n">
        <f aca="false">A50*$F$35+$F$23</f>
        <v>-927440</v>
      </c>
      <c r="D50" s="37" t="n">
        <f aca="false">$F$29</f>
        <v>-1026118.78797498</v>
      </c>
      <c r="E50" s="24" t="n">
        <f aca="false">C50+D50</f>
        <v>-1953558.78797498</v>
      </c>
      <c r="F50" s="37" t="n">
        <f aca="false">IF(A50=0,0,E50/A50)</f>
        <v>-2441.94848496873</v>
      </c>
    </row>
    <row r="51" customFormat="false" ht="15" hidden="false" customHeight="false" outlineLevel="0" collapsed="false">
      <c r="A51" s="29" t="n">
        <v>900</v>
      </c>
      <c r="C51" s="37" t="n">
        <f aca="false">A51*$F$35+$F$23</f>
        <v>-865745</v>
      </c>
      <c r="D51" s="37" t="n">
        <f aca="false">$F$29</f>
        <v>-1026118.78797498</v>
      </c>
      <c r="E51" s="24" t="n">
        <f aca="false">C51+D51</f>
        <v>-1891863.78797498</v>
      </c>
      <c r="F51" s="37" t="n">
        <f aca="false">IF(A51=0,0,E51/A51)</f>
        <v>-2102.07087552776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326</v>
      </c>
    </row>
    <row r="2" customFormat="false" ht="15" hidden="false" customHeight="false" outlineLevel="0" collapsed="false">
      <c r="A2" s="2" t="s">
        <v>327</v>
      </c>
    </row>
    <row r="4" customFormat="false" ht="15" hidden="false" customHeight="false" outlineLevel="0" collapsed="false">
      <c r="A4" s="4" t="s">
        <v>95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329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330</v>
      </c>
      <c r="B8" s="42" t="n">
        <f aca="false">2027+COUNTIF('Fleet Plan'!$C$8:$L$8,"&lt;1")</f>
        <v>2027</v>
      </c>
    </row>
    <row r="9" customFormat="false" ht="15" hidden="false" customHeight="false" outlineLevel="0" collapsed="false">
      <c r="A9" s="6" t="s">
        <v>331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274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332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333</v>
      </c>
      <c r="C12" s="14" t="n">
        <f aca="false">IF(C$5=$B$8,$B$10,IF(AND(C$5&gt;$B$8,C$5&lt;=IF('Unit Economics'!$F$41=1,9999,Assumptions!$F$64)),0,0))</f>
        <v>9200000</v>
      </c>
      <c r="D12" s="14" t="n">
        <f aca="false">IF(D$5=$B$8,$B$10,IF(AND(D$5&gt;$B$8,D$5&lt;=IF('Unit Economics'!$F$41=1,9999,Assumptions!$F$64)),C17,0))</f>
        <v>8840881.21202502</v>
      </c>
      <c r="E12" s="14" t="n">
        <f aca="false">IF(E$5=$B$8,$B$10,IF(AND(E$5&gt;$B$8,E$5&lt;=IF('Unit Economics'!$F$41=1,9999,Assumptions!$F$64)),D17,0))</f>
        <v>8455726.31192185</v>
      </c>
      <c r="F12" s="14" t="n">
        <f aca="false">IF(F$5=$B$8,$B$10,IF(AND(F$5&gt;$B$8,F$5&lt;=IF('Unit Economics'!$F$41=1,9999,Assumptions!$F$64)),E17,0))</f>
        <v>0</v>
      </c>
      <c r="G12" s="14" t="n">
        <f aca="false">IF(G$5=$B$8,$B$10,IF(AND(G$5&gt;$B$8,G$5&lt;=IF('Unit Economics'!$F$41=1,9999,Assumptions!$F$64)),F17,0))</f>
        <v>0</v>
      </c>
      <c r="H12" s="14" t="n">
        <f aca="false">IF(H$5=$B$8,$B$10,IF(AND(H$5&gt;$B$8,H$5&lt;=IF('Unit Economics'!$F$41=1,9999,Assumptions!$F$64)),G17,0))</f>
        <v>0</v>
      </c>
      <c r="I12" s="14" t="n">
        <f aca="false">IF(I$5=$B$8,$B$10,IF(AND(I$5&gt;$B$8,I$5&lt;=IF('Unit Economics'!$F$41=1,9999,Assumptions!$F$64)),H17,0))</f>
        <v>0</v>
      </c>
      <c r="J12" s="14" t="n">
        <f aca="false">IF(J$5=$B$8,$B$10,IF(AND(J$5&gt;$B$8,J$5&lt;=IF('Unit Economics'!$F$41=1,9999,Assumptions!$F$64)),I17,0))</f>
        <v>0</v>
      </c>
      <c r="K12" s="14" t="n">
        <f aca="false">IF(K$5=$B$8,$B$10,IF(AND(K$5&gt;$B$8,K$5&lt;=IF('Unit Economics'!$F$41=1,9999,Assumptions!$F$64)),J17,0))</f>
        <v>0</v>
      </c>
      <c r="L12" s="14" t="n">
        <f aca="false">IF(L$5=$B$8,$B$10,IF(AND(L$5&gt;$B$8,L$5&lt;=IF('Unit Economics'!$F$41=1,9999,Assumptions!$F$64)),K17,0))</f>
        <v>0</v>
      </c>
    </row>
    <row r="13" customFormat="false" ht="15" hidden="false" customHeight="false" outlineLevel="0" collapsed="false">
      <c r="A13" s="6" t="s">
        <v>334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335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336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337</v>
      </c>
      <c r="C16" s="14" t="n">
        <f aca="false">IF(C$5=IF('Unit Economics'!$F$41=1,9999,Assumptions!$F$64),C12-C15,0)</f>
        <v>0</v>
      </c>
      <c r="D16" s="14" t="n">
        <f aca="false">IF(D$5=IF('Unit Economics'!$F$41=1,9999,Assumptions!$F$64),D12-D15,0)</f>
        <v>0</v>
      </c>
      <c r="E16" s="14" t="n">
        <f aca="false">IF(E$5=IF('Unit Economics'!$F$41=1,9999,Assumptions!$F$64),E12-E15,0)</f>
        <v>8042647.6815612</v>
      </c>
      <c r="F16" s="14" t="n">
        <f aca="false">IF(F$5=IF('Unit Economics'!$F$41=1,9999,Assumptions!$F$64),F12-F15,0)</f>
        <v>0</v>
      </c>
      <c r="G16" s="14" t="n">
        <f aca="false">IF(G$5=IF('Unit Economics'!$F$41=1,9999,Assumptions!$F$64),G12-G15,0)</f>
        <v>0</v>
      </c>
      <c r="H16" s="14" t="n">
        <f aca="false">IF(H$5=IF('Unit Economics'!$F$41=1,9999,Assumptions!$F$64),H12-H15,0)</f>
        <v>0</v>
      </c>
      <c r="I16" s="14" t="n">
        <f aca="false">IF(I$5=IF('Unit Economics'!$F$41=1,9999,Assumptions!$F$64),I12-I15,0)</f>
        <v>0</v>
      </c>
      <c r="J16" s="14" t="n">
        <f aca="false">IF(J$5=IF('Unit Economics'!$F$41=1,9999,Assumptions!$F$64),J12-J15,0)</f>
        <v>0</v>
      </c>
      <c r="K16" s="14" t="n">
        <f aca="false">IF(K$5=IF('Unit Economics'!$F$41=1,9999,Assumptions!$F$64),K12-K15,0)</f>
        <v>0</v>
      </c>
      <c r="L16" s="14" t="n">
        <f aca="false">IF(L$5=IF('Unit Economics'!$F$41=1,9999,Assumptions!$F$64),L12-L15,0)</f>
        <v>0</v>
      </c>
    </row>
    <row r="17" customFormat="false" ht="15" hidden="false" customHeight="false" outlineLevel="0" collapsed="false">
      <c r="A17" s="6" t="s">
        <v>338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339</v>
      </c>
      <c r="C18" s="14" t="n">
        <f aca="false">IF(AND(C$5&gt;=$B$8,C$5&lt;IF('Unit Economics'!$F$41=1,9999,Assumptions!$F$64)),$B$9*(1-Assumptions!$F$74)^(C$5-$B$8+1),0)</f>
        <v>10810000</v>
      </c>
      <c r="D18" s="14" t="n">
        <f aca="false">IF(AND(D$5&gt;=$B$8,D$5&lt;IF('Unit Economics'!$F$41=1,9999,Assumptions!$F$64)),$B$9*(1-Assumptions!$F$74)^(D$5-$B$8+1),0)</f>
        <v>10161400</v>
      </c>
      <c r="E18" s="14" t="n">
        <f aca="false">IF(AND(E$5&gt;=$B$8,E$5&lt;IF('Unit Economics'!$F$41=1,9999,Assumptions!$F$64)),$B$9*(1-Assumptions!$F$74)^(E$5-$B$8+1),0)</f>
        <v>0</v>
      </c>
      <c r="F18" s="14" t="n">
        <f aca="false">IF(AND(F$5&gt;=$B$8,F$5&lt;IF('Unit Economics'!$F$41=1,9999,Assumptions!$F$64)),$B$9*(1-Assumptions!$F$74)^(F$5-$B$8+1),0)</f>
        <v>0</v>
      </c>
      <c r="G18" s="14" t="n">
        <f aca="false">IF(AND(G$5&gt;=$B$8,G$5&lt;IF('Unit Economics'!$F$41=1,9999,Assumptions!$F$64)),$B$9*(1-Assumptions!$F$74)^(G$5-$B$8+1),0)</f>
        <v>0</v>
      </c>
      <c r="H18" s="14" t="n">
        <f aca="false">IF(AND(H$5&gt;=$B$8,H$5&lt;IF('Unit Economics'!$F$41=1,9999,Assumptions!$F$64)),$B$9*(1-Assumptions!$F$74)^(H$5-$B$8+1),0)</f>
        <v>0</v>
      </c>
      <c r="I18" s="14" t="n">
        <f aca="false">IF(AND(I$5&gt;=$B$8,I$5&lt;IF('Unit Economics'!$F$41=1,9999,Assumptions!$F$64)),$B$9*(1-Assumptions!$F$74)^(I$5-$B$8+1),0)</f>
        <v>0</v>
      </c>
      <c r="J18" s="14" t="n">
        <f aca="false">IF(AND(J$5&gt;=$B$8,J$5&lt;IF('Unit Economics'!$F$41=1,9999,Assumptions!$F$64)),$B$9*(1-Assumptions!$F$74)^(J$5-$B$8+1),0)</f>
        <v>0</v>
      </c>
      <c r="K18" s="14" t="n">
        <f aca="false">IF(AND(K$5&gt;=$B$8,K$5&lt;IF('Unit Economics'!$F$41=1,9999,Assumptions!$F$64)),$B$9*(1-Assumptions!$F$74)^(K$5-$B$8+1),0)</f>
        <v>0</v>
      </c>
      <c r="L18" s="14" t="n">
        <f aca="false">IF(AND(L$5&gt;=$B$8,L$5&lt;IF('Unit Economics'!$F$41=1,9999,Assumptions!$F$64)),$B$9*(1-Assumptions!$F$74)^(L$5-$B$8+1),0)</f>
        <v>0</v>
      </c>
    </row>
    <row r="19" customFormat="false" ht="15" hidden="false" customHeight="false" outlineLevel="0" collapsed="false">
      <c r="A19" s="6" t="s">
        <v>340</v>
      </c>
      <c r="C19" s="14" t="n">
        <f aca="false">IF(AND(C$5=IF('Unit Economics'!$F$41=1,9999,Assumptions!$F$64),C$5&gt;=$B$8),$B$9*(1-Assumptions!$F$74)^(C$5-$B$8+0.5)*(1-Assumptions!$F$73),0)</f>
        <v>0</v>
      </c>
      <c r="D19" s="14" t="n">
        <f aca="false">IF(AND(D$5=IF('Unit Economics'!$F$41=1,9999,Assumptions!$F$64),D$5&gt;=$B$8),$B$9*(1-Assumptions!$F$74)^(D$5-$B$8+0.5)*(1-Assumptions!$F$73),0)</f>
        <v>0</v>
      </c>
      <c r="E19" s="14" t="n">
        <f aca="false">IF(AND(E$5=IF('Unit Economics'!$F$41=1,9999,Assumptions!$F$64),E$5&gt;=$B$8),$B$9*(1-Assumptions!$F$74)^(E$5-$B$8+0.5)*(1-Assumptions!$F$73),0)</f>
        <v>9654805.96421746</v>
      </c>
      <c r="F19" s="14" t="n">
        <f aca="false">IF(AND(F$5=IF('Unit Economics'!$F$41=1,9999,Assumptions!$F$64),F$5&gt;=$B$8),$B$9*(1-Assumptions!$F$74)^(F$5-$B$8+0.5)*(1-Assumptions!$F$73),0)</f>
        <v>0</v>
      </c>
      <c r="G19" s="14" t="n">
        <f aca="false">IF(AND(G$5=IF('Unit Economics'!$F$41=1,9999,Assumptions!$F$64),G$5&gt;=$B$8),$B$9*(1-Assumptions!$F$74)^(G$5-$B$8+0.5)*(1-Assumptions!$F$73),0)</f>
        <v>0</v>
      </c>
      <c r="H19" s="14" t="n">
        <f aca="false">IF(AND(H$5=IF('Unit Economics'!$F$41=1,9999,Assumptions!$F$64),H$5&gt;=$B$8),$B$9*(1-Assumptions!$F$74)^(H$5-$B$8+0.5)*(1-Assumptions!$F$73),0)</f>
        <v>0</v>
      </c>
      <c r="I19" s="14" t="n">
        <f aca="false">IF(AND(I$5=IF('Unit Economics'!$F$41=1,9999,Assumptions!$F$64),I$5&gt;=$B$8),$B$9*(1-Assumptions!$F$74)^(I$5-$B$8+0.5)*(1-Assumptions!$F$73),0)</f>
        <v>0</v>
      </c>
      <c r="J19" s="14" t="n">
        <f aca="false">IF(AND(J$5=IF('Unit Economics'!$F$41=1,9999,Assumptions!$F$64),J$5&gt;=$B$8),$B$9*(1-Assumptions!$F$74)^(J$5-$B$8+0.5)*(1-Assumptions!$F$73),0)</f>
        <v>0</v>
      </c>
      <c r="K19" s="14" t="n">
        <f aca="false">IF(AND(K$5=IF('Unit Economics'!$F$41=1,9999,Assumptions!$F$64),K$5&gt;=$B$8),$B$9*(1-Assumptions!$F$74)^(K$5-$B$8+0.5)*(1-Assumptions!$F$73),0)</f>
        <v>0</v>
      </c>
      <c r="L19" s="14" t="n">
        <f aca="false">IF(AND(L$5=IF('Unit Economics'!$F$41=1,9999,Assumptions!$F$64),L$5&gt;=$B$8),$B$9*(1-Assumptions!$F$74)^(L$5-$B$8+0.5)*(1-Assumptions!$F$73),0)</f>
        <v>0</v>
      </c>
    </row>
    <row r="21" customFormat="false" ht="15" hidden="false" customHeight="false" outlineLevel="0" collapsed="false">
      <c r="A21" s="17" t="s">
        <v>341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330</v>
      </c>
      <c r="B22" s="42" t="n">
        <f aca="false">2027+COUNTIF('Fleet Plan'!$C$8:$L$8,"&lt;2")</f>
        <v>2037</v>
      </c>
    </row>
    <row r="23" customFormat="false" ht="15" hidden="false" customHeight="false" outlineLevel="0" collapsed="false">
      <c r="A23" s="6" t="s">
        <v>331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274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332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333</v>
      </c>
      <c r="C26" s="14" t="n">
        <f aca="false">IF(C$5=$B$22,$B$24,IF(AND(C$5&gt;$B$22,C$5&lt;=IF('Unit Economics'!$F$41=1,9999,Assumptions!$F$64)),0,0))</f>
        <v>0</v>
      </c>
      <c r="D26" s="14" t="n">
        <f aca="false">IF(D$5=$B$22,$B$24,IF(AND(D$5&gt;$B$22,D$5&lt;=IF('Unit Economics'!$F$41=1,9999,Assumptions!$F$64)),C31,0))</f>
        <v>0</v>
      </c>
      <c r="E26" s="14" t="n">
        <f aca="false">IF(E$5=$B$22,$B$24,IF(AND(E$5&gt;$B$22,E$5&lt;=IF('Unit Economics'!$F$41=1,9999,Assumptions!$F$64)),D31,0))</f>
        <v>0</v>
      </c>
      <c r="F26" s="14" t="n">
        <f aca="false">IF(F$5=$B$22,$B$24,IF(AND(F$5&gt;$B$22,F$5&lt;=IF('Unit Economics'!$F$41=1,9999,Assumptions!$F$64)),E31,0))</f>
        <v>0</v>
      </c>
      <c r="G26" s="14" t="n">
        <f aca="false">IF(G$5=$B$22,$B$24,IF(AND(G$5&gt;$B$22,G$5&lt;=IF('Unit Economics'!$F$41=1,9999,Assumptions!$F$64)),F31,0))</f>
        <v>0</v>
      </c>
      <c r="H26" s="14" t="n">
        <f aca="false">IF(H$5=$B$22,$B$24,IF(AND(H$5&gt;$B$22,H$5&lt;=IF('Unit Economics'!$F$41=1,9999,Assumptions!$F$64)),G31,0))</f>
        <v>0</v>
      </c>
      <c r="I26" s="14" t="n">
        <f aca="false">IF(I$5=$B$22,$B$24,IF(AND(I$5&gt;$B$22,I$5&lt;=IF('Unit Economics'!$F$41=1,9999,Assumptions!$F$64)),H31,0))</f>
        <v>0</v>
      </c>
      <c r="J26" s="14" t="n">
        <f aca="false">IF(J$5=$B$22,$B$24,IF(AND(J$5&gt;$B$22,J$5&lt;=IF('Unit Economics'!$F$41=1,9999,Assumptions!$F$64)),I31,0))</f>
        <v>0</v>
      </c>
      <c r="K26" s="14" t="n">
        <f aca="false">IF(K$5=$B$22,$B$24,IF(AND(K$5&gt;$B$22,K$5&lt;=IF('Unit Economics'!$F$41=1,9999,Assumptions!$F$64)),J31,0))</f>
        <v>0</v>
      </c>
      <c r="L26" s="14" t="n">
        <f aca="false">IF(L$5=$B$22,$B$24,IF(AND(L$5&gt;$B$22,L$5&lt;=IF('Unit Economics'!$F$41=1,9999,Assumptions!$F$64)),K31,0))</f>
        <v>0</v>
      </c>
    </row>
    <row r="27" customFormat="false" ht="15" hidden="false" customHeight="false" outlineLevel="0" collapsed="false">
      <c r="A27" s="6" t="s">
        <v>334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335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336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337</v>
      </c>
      <c r="C30" s="14" t="n">
        <f aca="false">IF(C$5=IF('Unit Economics'!$F$41=1,9999,Assumptions!$F$64),C26-C29,0)</f>
        <v>0</v>
      </c>
      <c r="D30" s="14" t="n">
        <f aca="false">IF(D$5=IF('Unit Economics'!$F$41=1,9999,Assumptions!$F$64),D26-D29,0)</f>
        <v>0</v>
      </c>
      <c r="E30" s="14" t="n">
        <f aca="false">IF(E$5=IF('Unit Economics'!$F$41=1,9999,Assumptions!$F$64),E26-E29,0)</f>
        <v>0</v>
      </c>
      <c r="F30" s="14" t="n">
        <f aca="false">IF(F$5=IF('Unit Economics'!$F$41=1,9999,Assumptions!$F$64),F26-F29,0)</f>
        <v>0</v>
      </c>
      <c r="G30" s="14" t="n">
        <f aca="false">IF(G$5=IF('Unit Economics'!$F$41=1,9999,Assumptions!$F$64),G26-G29,0)</f>
        <v>0</v>
      </c>
      <c r="H30" s="14" t="n">
        <f aca="false">IF(H$5=IF('Unit Economics'!$F$41=1,9999,Assumptions!$F$64),H26-H29,0)</f>
        <v>0</v>
      </c>
      <c r="I30" s="14" t="n">
        <f aca="false">IF(I$5=IF('Unit Economics'!$F$41=1,9999,Assumptions!$F$64),I26-I29,0)</f>
        <v>0</v>
      </c>
      <c r="J30" s="14" t="n">
        <f aca="false">IF(J$5=IF('Unit Economics'!$F$41=1,9999,Assumptions!$F$64),J26-J29,0)</f>
        <v>0</v>
      </c>
      <c r="K30" s="14" t="n">
        <f aca="false">IF(K$5=IF('Unit Economics'!$F$41=1,9999,Assumptions!$F$64),K26-K29,0)</f>
        <v>0</v>
      </c>
      <c r="L30" s="14" t="n">
        <f aca="false">IF(L$5=IF('Unit Economics'!$F$41=1,9999,Assumptions!$F$64),L26-L29,0)</f>
        <v>0</v>
      </c>
    </row>
    <row r="31" customFormat="false" ht="15" hidden="false" customHeight="false" outlineLevel="0" collapsed="false">
      <c r="A31" s="6" t="s">
        <v>338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339</v>
      </c>
      <c r="C32" s="14" t="n">
        <f aca="false">IF(AND(C$5&gt;=$B$22,C$5&lt;IF('Unit Economics'!$F$41=1,9999,Assumptions!$F$64)),$B$23*(1-Assumptions!$F$74)^(C$5-$B$22+1),0)</f>
        <v>0</v>
      </c>
      <c r="D32" s="14" t="n">
        <f aca="false">IF(AND(D$5&gt;=$B$22,D$5&lt;IF('Unit Economics'!$F$41=1,9999,Assumptions!$F$64)),$B$23*(1-Assumptions!$F$74)^(D$5-$B$22+1),0)</f>
        <v>0</v>
      </c>
      <c r="E32" s="14" t="n">
        <f aca="false">IF(AND(E$5&gt;=$B$22,E$5&lt;IF('Unit Economics'!$F$41=1,9999,Assumptions!$F$64)),$B$23*(1-Assumptions!$F$74)^(E$5-$B$22+1),0)</f>
        <v>0</v>
      </c>
      <c r="F32" s="14" t="n">
        <f aca="false">IF(AND(F$5&gt;=$B$22,F$5&lt;IF('Unit Economics'!$F$41=1,9999,Assumptions!$F$64)),$B$23*(1-Assumptions!$F$74)^(F$5-$B$22+1),0)</f>
        <v>0</v>
      </c>
      <c r="G32" s="14" t="n">
        <f aca="false">IF(AND(G$5&gt;=$B$22,G$5&lt;IF('Unit Economics'!$F$41=1,9999,Assumptions!$F$64)),$B$23*(1-Assumptions!$F$74)^(G$5-$B$22+1),0)</f>
        <v>0</v>
      </c>
      <c r="H32" s="14" t="n">
        <f aca="false">IF(AND(H$5&gt;=$B$22,H$5&lt;IF('Unit Economics'!$F$41=1,9999,Assumptions!$F$64)),$B$23*(1-Assumptions!$F$74)^(H$5-$B$22+1),0)</f>
        <v>0</v>
      </c>
      <c r="I32" s="14" t="n">
        <f aca="false">IF(AND(I$5&gt;=$B$22,I$5&lt;IF('Unit Economics'!$F$41=1,9999,Assumptions!$F$64)),$B$23*(1-Assumptions!$F$74)^(I$5-$B$22+1),0)</f>
        <v>0</v>
      </c>
      <c r="J32" s="14" t="n">
        <f aca="false">IF(AND(J$5&gt;=$B$22,J$5&lt;IF('Unit Economics'!$F$41=1,9999,Assumptions!$F$64)),$B$23*(1-Assumptions!$F$74)^(J$5-$B$22+1),0)</f>
        <v>0</v>
      </c>
      <c r="K32" s="14" t="n">
        <f aca="false">IF(AND(K$5&gt;=$B$22,K$5&lt;IF('Unit Economics'!$F$41=1,9999,Assumptions!$F$64)),$B$23*(1-Assumptions!$F$74)^(K$5-$B$22+1),0)</f>
        <v>0</v>
      </c>
      <c r="L32" s="14" t="n">
        <f aca="false">IF(AND(L$5&gt;=$B$22,L$5&lt;IF('Unit Economics'!$F$41=1,9999,Assumptions!$F$64)),$B$23*(1-Assumptions!$F$74)^(L$5-$B$22+1),0)</f>
        <v>0</v>
      </c>
    </row>
    <row r="33" customFormat="false" ht="15" hidden="false" customHeight="false" outlineLevel="0" collapsed="false">
      <c r="A33" s="6" t="s">
        <v>340</v>
      </c>
      <c r="C33" s="14" t="n">
        <f aca="false">IF(AND(C$5=IF('Unit Economics'!$F$41=1,9999,Assumptions!$F$64),C$5&gt;=$B$22),$B$23*(1-Assumptions!$F$74)^(C$5-$B$22+0.5)*(1-Assumptions!$F$73),0)</f>
        <v>0</v>
      </c>
      <c r="D33" s="14" t="n">
        <f aca="false">IF(AND(D$5=IF('Unit Economics'!$F$41=1,9999,Assumptions!$F$64),D$5&gt;=$B$22),$B$23*(1-Assumptions!$F$74)^(D$5-$B$22+0.5)*(1-Assumptions!$F$73),0)</f>
        <v>0</v>
      </c>
      <c r="E33" s="14" t="n">
        <f aca="false">IF(AND(E$5=IF('Unit Economics'!$F$41=1,9999,Assumptions!$F$64),E$5&gt;=$B$22),$B$23*(1-Assumptions!$F$74)^(E$5-$B$22+0.5)*(1-Assumptions!$F$73),0)</f>
        <v>0</v>
      </c>
      <c r="F33" s="14" t="n">
        <f aca="false">IF(AND(F$5=IF('Unit Economics'!$F$41=1,9999,Assumptions!$F$64),F$5&gt;=$B$22),$B$23*(1-Assumptions!$F$74)^(F$5-$B$22+0.5)*(1-Assumptions!$F$73),0)</f>
        <v>0</v>
      </c>
      <c r="G33" s="14" t="n">
        <f aca="false">IF(AND(G$5=IF('Unit Economics'!$F$41=1,9999,Assumptions!$F$64),G$5&gt;=$B$22),$B$23*(1-Assumptions!$F$74)^(G$5-$B$22+0.5)*(1-Assumptions!$F$73),0)</f>
        <v>0</v>
      </c>
      <c r="H33" s="14" t="n">
        <f aca="false">IF(AND(H$5=IF('Unit Economics'!$F$41=1,9999,Assumptions!$F$64),H$5&gt;=$B$22),$B$23*(1-Assumptions!$F$74)^(H$5-$B$22+0.5)*(1-Assumptions!$F$73),0)</f>
        <v>0</v>
      </c>
      <c r="I33" s="14" t="n">
        <f aca="false">IF(AND(I$5=IF('Unit Economics'!$F$41=1,9999,Assumptions!$F$64),I$5&gt;=$B$22),$B$23*(1-Assumptions!$F$74)^(I$5-$B$22+0.5)*(1-Assumptions!$F$73),0)</f>
        <v>0</v>
      </c>
      <c r="J33" s="14" t="n">
        <f aca="false">IF(AND(J$5=IF('Unit Economics'!$F$41=1,9999,Assumptions!$F$64),J$5&gt;=$B$22),$B$23*(1-Assumptions!$F$74)^(J$5-$B$22+0.5)*(1-Assumptions!$F$73),0)</f>
        <v>0</v>
      </c>
      <c r="K33" s="14" t="n">
        <f aca="false">IF(AND(K$5=IF('Unit Economics'!$F$41=1,9999,Assumptions!$F$64),K$5&gt;=$B$22),$B$23*(1-Assumptions!$F$74)^(K$5-$B$22+0.5)*(1-Assumptions!$F$73),0)</f>
        <v>0</v>
      </c>
      <c r="L33" s="14" t="n">
        <f aca="false">IF(AND(L$5=IF('Unit Economics'!$F$41=1,9999,Assumptions!$F$64),L$5&gt;=$B$22),$B$23*(1-Assumptions!$F$74)^(L$5-$B$22+0.5)*(1-Assumptions!$F$73),0)</f>
        <v>0</v>
      </c>
    </row>
    <row r="35" customFormat="false" ht="15" hidden="false" customHeight="false" outlineLevel="0" collapsed="false">
      <c r="A35" s="17" t="s">
        <v>342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330</v>
      </c>
      <c r="B36" s="42" t="n">
        <f aca="false">2027+COUNTIF('Fleet Plan'!$C$8:$L$8,"&lt;3")</f>
        <v>2037</v>
      </c>
    </row>
    <row r="37" customFormat="false" ht="15" hidden="false" customHeight="false" outlineLevel="0" collapsed="false">
      <c r="A37" s="6" t="s">
        <v>331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274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332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333</v>
      </c>
      <c r="C40" s="14" t="n">
        <f aca="false">IF(C$5=$B$36,$B$38,IF(AND(C$5&gt;$B$36,C$5&lt;=IF('Unit Economics'!$F$41=1,9999,Assumptions!$F$64)),0,0))</f>
        <v>0</v>
      </c>
      <c r="D40" s="14" t="n">
        <f aca="false">IF(D$5=$B$36,$B$38,IF(AND(D$5&gt;$B$36,D$5&lt;=IF('Unit Economics'!$F$41=1,9999,Assumptions!$F$64)),C45,0))</f>
        <v>0</v>
      </c>
      <c r="E40" s="14" t="n">
        <f aca="false">IF(E$5=$B$36,$B$38,IF(AND(E$5&gt;$B$36,E$5&lt;=IF('Unit Economics'!$F$41=1,9999,Assumptions!$F$64)),D45,0))</f>
        <v>0</v>
      </c>
      <c r="F40" s="14" t="n">
        <f aca="false">IF(F$5=$B$36,$B$38,IF(AND(F$5&gt;$B$36,F$5&lt;=IF('Unit Economics'!$F$41=1,9999,Assumptions!$F$64)),E45,0))</f>
        <v>0</v>
      </c>
      <c r="G40" s="14" t="n">
        <f aca="false">IF(G$5=$B$36,$B$38,IF(AND(G$5&gt;$B$36,G$5&lt;=IF('Unit Economics'!$F$41=1,9999,Assumptions!$F$64)),F45,0))</f>
        <v>0</v>
      </c>
      <c r="H40" s="14" t="n">
        <f aca="false">IF(H$5=$B$36,$B$38,IF(AND(H$5&gt;$B$36,H$5&lt;=IF('Unit Economics'!$F$41=1,9999,Assumptions!$F$64)),G45,0))</f>
        <v>0</v>
      </c>
      <c r="I40" s="14" t="n">
        <f aca="false">IF(I$5=$B$36,$B$38,IF(AND(I$5&gt;$B$36,I$5&lt;=IF('Unit Economics'!$F$41=1,9999,Assumptions!$F$64)),H45,0))</f>
        <v>0</v>
      </c>
      <c r="J40" s="14" t="n">
        <f aca="false">IF(J$5=$B$36,$B$38,IF(AND(J$5&gt;$B$36,J$5&lt;=IF('Unit Economics'!$F$41=1,9999,Assumptions!$F$64)),I45,0))</f>
        <v>0</v>
      </c>
      <c r="K40" s="14" t="n">
        <f aca="false">IF(K$5=$B$36,$B$38,IF(AND(K$5&gt;$B$36,K$5&lt;=IF('Unit Economics'!$F$41=1,9999,Assumptions!$F$64)),J45,0))</f>
        <v>0</v>
      </c>
      <c r="L40" s="14" t="n">
        <f aca="false">IF(L$5=$B$36,$B$38,IF(AND(L$5&gt;$B$36,L$5&lt;=IF('Unit Economics'!$F$41=1,9999,Assumptions!$F$64)),K45,0))</f>
        <v>0</v>
      </c>
    </row>
    <row r="41" customFormat="false" ht="15" hidden="false" customHeight="false" outlineLevel="0" collapsed="false">
      <c r="A41" s="6" t="s">
        <v>334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335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336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337</v>
      </c>
      <c r="C44" s="14" t="n">
        <f aca="false">IF(C$5=IF('Unit Economics'!$F$41=1,9999,Assumptions!$F$64),C40-C43,0)</f>
        <v>0</v>
      </c>
      <c r="D44" s="14" t="n">
        <f aca="false">IF(D$5=IF('Unit Economics'!$F$41=1,9999,Assumptions!$F$64),D40-D43,0)</f>
        <v>0</v>
      </c>
      <c r="E44" s="14" t="n">
        <f aca="false">IF(E$5=IF('Unit Economics'!$F$41=1,9999,Assumptions!$F$64),E40-E43,0)</f>
        <v>0</v>
      </c>
      <c r="F44" s="14" t="n">
        <f aca="false">IF(F$5=IF('Unit Economics'!$F$41=1,9999,Assumptions!$F$64),F40-F43,0)</f>
        <v>0</v>
      </c>
      <c r="G44" s="14" t="n">
        <f aca="false">IF(G$5=IF('Unit Economics'!$F$41=1,9999,Assumptions!$F$64),G40-G43,0)</f>
        <v>0</v>
      </c>
      <c r="H44" s="14" t="n">
        <f aca="false">IF(H$5=IF('Unit Economics'!$F$41=1,9999,Assumptions!$F$64),H40-H43,0)</f>
        <v>0</v>
      </c>
      <c r="I44" s="14" t="n">
        <f aca="false">IF(I$5=IF('Unit Economics'!$F$41=1,9999,Assumptions!$F$64),I40-I43,0)</f>
        <v>0</v>
      </c>
      <c r="J44" s="14" t="n">
        <f aca="false">IF(J$5=IF('Unit Economics'!$F$41=1,9999,Assumptions!$F$64),J40-J43,0)</f>
        <v>0</v>
      </c>
      <c r="K44" s="14" t="n">
        <f aca="false">IF(K$5=IF('Unit Economics'!$F$41=1,9999,Assumptions!$F$64),K40-K43,0)</f>
        <v>0</v>
      </c>
      <c r="L44" s="14" t="n">
        <f aca="false">IF(L$5=IF('Unit Economics'!$F$41=1,9999,Assumptions!$F$64),L40-L43,0)</f>
        <v>0</v>
      </c>
    </row>
    <row r="45" customFormat="false" ht="15" hidden="false" customHeight="false" outlineLevel="0" collapsed="false">
      <c r="A45" s="6" t="s">
        <v>338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339</v>
      </c>
      <c r="C46" s="14" t="n">
        <f aca="false">IF(AND(C$5&gt;=$B$36,C$5&lt;IF('Unit Economics'!$F$41=1,9999,Assumptions!$F$64)),$B$37*(1-Assumptions!$F$74)^(C$5-$B$36+1),0)</f>
        <v>0</v>
      </c>
      <c r="D46" s="14" t="n">
        <f aca="false">IF(AND(D$5&gt;=$B$36,D$5&lt;IF('Unit Economics'!$F$41=1,9999,Assumptions!$F$64)),$B$37*(1-Assumptions!$F$74)^(D$5-$B$36+1),0)</f>
        <v>0</v>
      </c>
      <c r="E46" s="14" t="n">
        <f aca="false">IF(AND(E$5&gt;=$B$36,E$5&lt;IF('Unit Economics'!$F$41=1,9999,Assumptions!$F$64)),$B$37*(1-Assumptions!$F$74)^(E$5-$B$36+1),0)</f>
        <v>0</v>
      </c>
      <c r="F46" s="14" t="n">
        <f aca="false">IF(AND(F$5&gt;=$B$36,F$5&lt;IF('Unit Economics'!$F$41=1,9999,Assumptions!$F$64)),$B$37*(1-Assumptions!$F$74)^(F$5-$B$36+1),0)</f>
        <v>0</v>
      </c>
      <c r="G46" s="14" t="n">
        <f aca="false">IF(AND(G$5&gt;=$B$36,G$5&lt;IF('Unit Economics'!$F$41=1,9999,Assumptions!$F$64)),$B$37*(1-Assumptions!$F$74)^(G$5-$B$36+1),0)</f>
        <v>0</v>
      </c>
      <c r="H46" s="14" t="n">
        <f aca="false">IF(AND(H$5&gt;=$B$36,H$5&lt;IF('Unit Economics'!$F$41=1,9999,Assumptions!$F$64)),$B$37*(1-Assumptions!$F$74)^(H$5-$B$36+1),0)</f>
        <v>0</v>
      </c>
      <c r="I46" s="14" t="n">
        <f aca="false">IF(AND(I$5&gt;=$B$36,I$5&lt;IF('Unit Economics'!$F$41=1,9999,Assumptions!$F$64)),$B$37*(1-Assumptions!$F$74)^(I$5-$B$36+1),0)</f>
        <v>0</v>
      </c>
      <c r="J46" s="14" t="n">
        <f aca="false">IF(AND(J$5&gt;=$B$36,J$5&lt;IF('Unit Economics'!$F$41=1,9999,Assumptions!$F$64)),$B$37*(1-Assumptions!$F$74)^(J$5-$B$36+1),0)</f>
        <v>0</v>
      </c>
      <c r="K46" s="14" t="n">
        <f aca="false">IF(AND(K$5&gt;=$B$36,K$5&lt;IF('Unit Economics'!$F$41=1,9999,Assumptions!$F$64)),$B$37*(1-Assumptions!$F$74)^(K$5-$B$36+1),0)</f>
        <v>0</v>
      </c>
      <c r="L46" s="14" t="n">
        <f aca="false">IF(AND(L$5&gt;=$B$36,L$5&lt;IF('Unit Economics'!$F$41=1,9999,Assumptions!$F$64)),$B$37*(1-Assumptions!$F$74)^(L$5-$B$36+1),0)</f>
        <v>0</v>
      </c>
    </row>
    <row r="47" customFormat="false" ht="15" hidden="false" customHeight="false" outlineLevel="0" collapsed="false">
      <c r="A47" s="6" t="s">
        <v>340</v>
      </c>
      <c r="C47" s="14" t="n">
        <f aca="false">IF(AND(C$5=IF('Unit Economics'!$F$41=1,9999,Assumptions!$F$64),C$5&gt;=$B$36),$B$37*(1-Assumptions!$F$74)^(C$5-$B$36+0.5)*(1-Assumptions!$F$73),0)</f>
        <v>0</v>
      </c>
      <c r="D47" s="14" t="n">
        <f aca="false">IF(AND(D$5=IF('Unit Economics'!$F$41=1,9999,Assumptions!$F$64),D$5&gt;=$B$36),$B$37*(1-Assumptions!$F$74)^(D$5-$B$36+0.5)*(1-Assumptions!$F$73),0)</f>
        <v>0</v>
      </c>
      <c r="E47" s="14" t="n">
        <f aca="false">IF(AND(E$5=IF('Unit Economics'!$F$41=1,9999,Assumptions!$F$64),E$5&gt;=$B$36),$B$37*(1-Assumptions!$F$74)^(E$5-$B$36+0.5)*(1-Assumptions!$F$73),0)</f>
        <v>0</v>
      </c>
      <c r="F47" s="14" t="n">
        <f aca="false">IF(AND(F$5=IF('Unit Economics'!$F$41=1,9999,Assumptions!$F$64),F$5&gt;=$B$36),$B$37*(1-Assumptions!$F$74)^(F$5-$B$36+0.5)*(1-Assumptions!$F$73),0)</f>
        <v>0</v>
      </c>
      <c r="G47" s="14" t="n">
        <f aca="false">IF(AND(G$5=IF('Unit Economics'!$F$41=1,9999,Assumptions!$F$64),G$5&gt;=$B$36),$B$37*(1-Assumptions!$F$74)^(G$5-$B$36+0.5)*(1-Assumptions!$F$73),0)</f>
        <v>0</v>
      </c>
      <c r="H47" s="14" t="n">
        <f aca="false">IF(AND(H$5=IF('Unit Economics'!$F$41=1,9999,Assumptions!$F$64),H$5&gt;=$B$36),$B$37*(1-Assumptions!$F$74)^(H$5-$B$36+0.5)*(1-Assumptions!$F$73),0)</f>
        <v>0</v>
      </c>
      <c r="I47" s="14" t="n">
        <f aca="false">IF(AND(I$5=IF('Unit Economics'!$F$41=1,9999,Assumptions!$F$64),I$5&gt;=$B$36),$B$37*(1-Assumptions!$F$74)^(I$5-$B$36+0.5)*(1-Assumptions!$F$73),0)</f>
        <v>0</v>
      </c>
      <c r="J47" s="14" t="n">
        <f aca="false">IF(AND(J$5=IF('Unit Economics'!$F$41=1,9999,Assumptions!$F$64),J$5&gt;=$B$36),$B$37*(1-Assumptions!$F$74)^(J$5-$B$36+0.5)*(1-Assumptions!$F$73),0)</f>
        <v>0</v>
      </c>
      <c r="K47" s="14" t="n">
        <f aca="false">IF(AND(K$5=IF('Unit Economics'!$F$41=1,9999,Assumptions!$F$64),K$5&gt;=$B$36),$B$37*(1-Assumptions!$F$74)^(K$5-$B$36+0.5)*(1-Assumptions!$F$73),0)</f>
        <v>0</v>
      </c>
      <c r="L47" s="14" t="n">
        <f aca="false">IF(AND(L$5=IF('Unit Economics'!$F$41=1,9999,Assumptions!$F$64),L$5&gt;=$B$36),$B$37*(1-Assumptions!$F$74)^(L$5-$B$36+0.5)*(1-Assumptions!$F$73),0)</f>
        <v>0</v>
      </c>
    </row>
    <row r="49" customFormat="false" ht="15" hidden="false" customHeight="false" outlineLevel="0" collapsed="false">
      <c r="A49" s="17" t="s">
        <v>343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330</v>
      </c>
      <c r="B50" s="42" t="n">
        <f aca="false">2027+COUNTIF('Fleet Plan'!$C$8:$L$8,"&lt;4")</f>
        <v>2037</v>
      </c>
    </row>
    <row r="51" customFormat="false" ht="15" hidden="false" customHeight="false" outlineLevel="0" collapsed="false">
      <c r="A51" s="6" t="s">
        <v>331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274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332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333</v>
      </c>
      <c r="C54" s="14" t="n">
        <f aca="false">IF(C$5=$B$50,$B$52,IF(AND(C$5&gt;$B$50,C$5&lt;=IF('Unit Economics'!$F$41=1,9999,Assumptions!$F$64)),0,0))</f>
        <v>0</v>
      </c>
      <c r="D54" s="14" t="n">
        <f aca="false">IF(D$5=$B$50,$B$52,IF(AND(D$5&gt;$B$50,D$5&lt;=IF('Unit Economics'!$F$41=1,9999,Assumptions!$F$64)),C59,0))</f>
        <v>0</v>
      </c>
      <c r="E54" s="14" t="n">
        <f aca="false">IF(E$5=$B$50,$B$52,IF(AND(E$5&gt;$B$50,E$5&lt;=IF('Unit Economics'!$F$41=1,9999,Assumptions!$F$64)),D59,0))</f>
        <v>0</v>
      </c>
      <c r="F54" s="14" t="n">
        <f aca="false">IF(F$5=$B$50,$B$52,IF(AND(F$5&gt;$B$50,F$5&lt;=IF('Unit Economics'!$F$41=1,9999,Assumptions!$F$64)),E59,0))</f>
        <v>0</v>
      </c>
      <c r="G54" s="14" t="n">
        <f aca="false">IF(G$5=$B$50,$B$52,IF(AND(G$5&gt;$B$50,G$5&lt;=IF('Unit Economics'!$F$41=1,9999,Assumptions!$F$64)),F59,0))</f>
        <v>0</v>
      </c>
      <c r="H54" s="14" t="n">
        <f aca="false">IF(H$5=$B$50,$B$52,IF(AND(H$5&gt;$B$50,H$5&lt;=IF('Unit Economics'!$F$41=1,9999,Assumptions!$F$64)),G59,0))</f>
        <v>0</v>
      </c>
      <c r="I54" s="14" t="n">
        <f aca="false">IF(I$5=$B$50,$B$52,IF(AND(I$5&gt;$B$50,I$5&lt;=IF('Unit Economics'!$F$41=1,9999,Assumptions!$F$64)),H59,0))</f>
        <v>0</v>
      </c>
      <c r="J54" s="14" t="n">
        <f aca="false">IF(J$5=$B$50,$B$52,IF(AND(J$5&gt;$B$50,J$5&lt;=IF('Unit Economics'!$F$41=1,9999,Assumptions!$F$64)),I59,0))</f>
        <v>0</v>
      </c>
      <c r="K54" s="14" t="n">
        <f aca="false">IF(K$5=$B$50,$B$52,IF(AND(K$5&gt;$B$50,K$5&lt;=IF('Unit Economics'!$F$41=1,9999,Assumptions!$F$64)),J59,0))</f>
        <v>0</v>
      </c>
      <c r="L54" s="14" t="n">
        <f aca="false">IF(L$5=$B$50,$B$52,IF(AND(L$5&gt;$B$50,L$5&lt;=IF('Unit Economics'!$F$41=1,9999,Assumptions!$F$64)),K59,0))</f>
        <v>0</v>
      </c>
    </row>
    <row r="55" customFormat="false" ht="15" hidden="false" customHeight="false" outlineLevel="0" collapsed="false">
      <c r="A55" s="6" t="s">
        <v>334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335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336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337</v>
      </c>
      <c r="C58" s="14" t="n">
        <f aca="false">IF(C$5=IF('Unit Economics'!$F$41=1,9999,Assumptions!$F$64),C54-C57,0)</f>
        <v>0</v>
      </c>
      <c r="D58" s="14" t="n">
        <f aca="false">IF(D$5=IF('Unit Economics'!$F$41=1,9999,Assumptions!$F$64),D54-D57,0)</f>
        <v>0</v>
      </c>
      <c r="E58" s="14" t="n">
        <f aca="false">IF(E$5=IF('Unit Economics'!$F$41=1,9999,Assumptions!$F$64),E54-E57,0)</f>
        <v>0</v>
      </c>
      <c r="F58" s="14" t="n">
        <f aca="false">IF(F$5=IF('Unit Economics'!$F$41=1,9999,Assumptions!$F$64),F54-F57,0)</f>
        <v>0</v>
      </c>
      <c r="G58" s="14" t="n">
        <f aca="false">IF(G$5=IF('Unit Economics'!$F$41=1,9999,Assumptions!$F$64),G54-G57,0)</f>
        <v>0</v>
      </c>
      <c r="H58" s="14" t="n">
        <f aca="false">IF(H$5=IF('Unit Economics'!$F$41=1,9999,Assumptions!$F$64),H54-H57,0)</f>
        <v>0</v>
      </c>
      <c r="I58" s="14" t="n">
        <f aca="false">IF(I$5=IF('Unit Economics'!$F$41=1,9999,Assumptions!$F$64),I54-I57,0)</f>
        <v>0</v>
      </c>
      <c r="J58" s="14" t="n">
        <f aca="false">IF(J$5=IF('Unit Economics'!$F$41=1,9999,Assumptions!$F$64),J54-J57,0)</f>
        <v>0</v>
      </c>
      <c r="K58" s="14" t="n">
        <f aca="false">IF(K$5=IF('Unit Economics'!$F$41=1,9999,Assumptions!$F$64),K54-K57,0)</f>
        <v>0</v>
      </c>
      <c r="L58" s="14" t="n">
        <f aca="false">IF(L$5=IF('Unit Economics'!$F$41=1,9999,Assumptions!$F$64),L54-L57,0)</f>
        <v>0</v>
      </c>
    </row>
    <row r="59" customFormat="false" ht="15" hidden="false" customHeight="false" outlineLevel="0" collapsed="false">
      <c r="A59" s="6" t="s">
        <v>338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339</v>
      </c>
      <c r="C60" s="14" t="n">
        <f aca="false">IF(AND(C$5&gt;=$B$50,C$5&lt;IF('Unit Economics'!$F$41=1,9999,Assumptions!$F$64)),$B$51*(1-Assumptions!$F$74)^(C$5-$B$50+1),0)</f>
        <v>0</v>
      </c>
      <c r="D60" s="14" t="n">
        <f aca="false">IF(AND(D$5&gt;=$B$50,D$5&lt;IF('Unit Economics'!$F$41=1,9999,Assumptions!$F$64)),$B$51*(1-Assumptions!$F$74)^(D$5-$B$50+1),0)</f>
        <v>0</v>
      </c>
      <c r="E60" s="14" t="n">
        <f aca="false">IF(AND(E$5&gt;=$B$50,E$5&lt;IF('Unit Economics'!$F$41=1,9999,Assumptions!$F$64)),$B$51*(1-Assumptions!$F$74)^(E$5-$B$50+1),0)</f>
        <v>0</v>
      </c>
      <c r="F60" s="14" t="n">
        <f aca="false">IF(AND(F$5&gt;=$B$50,F$5&lt;IF('Unit Economics'!$F$41=1,9999,Assumptions!$F$64)),$B$51*(1-Assumptions!$F$74)^(F$5-$B$50+1),0)</f>
        <v>0</v>
      </c>
      <c r="G60" s="14" t="n">
        <f aca="false">IF(AND(G$5&gt;=$B$50,G$5&lt;IF('Unit Economics'!$F$41=1,9999,Assumptions!$F$64)),$B$51*(1-Assumptions!$F$74)^(G$5-$B$50+1),0)</f>
        <v>0</v>
      </c>
      <c r="H60" s="14" t="n">
        <f aca="false">IF(AND(H$5&gt;=$B$50,H$5&lt;IF('Unit Economics'!$F$41=1,9999,Assumptions!$F$64)),$B$51*(1-Assumptions!$F$74)^(H$5-$B$50+1),0)</f>
        <v>0</v>
      </c>
      <c r="I60" s="14" t="n">
        <f aca="false">IF(AND(I$5&gt;=$B$50,I$5&lt;IF('Unit Economics'!$F$41=1,9999,Assumptions!$F$64)),$B$51*(1-Assumptions!$F$74)^(I$5-$B$50+1),0)</f>
        <v>0</v>
      </c>
      <c r="J60" s="14" t="n">
        <f aca="false">IF(AND(J$5&gt;=$B$50,J$5&lt;IF('Unit Economics'!$F$41=1,9999,Assumptions!$F$64)),$B$51*(1-Assumptions!$F$74)^(J$5-$B$50+1),0)</f>
        <v>0</v>
      </c>
      <c r="K60" s="14" t="n">
        <f aca="false">IF(AND(K$5&gt;=$B$50,K$5&lt;IF('Unit Economics'!$F$41=1,9999,Assumptions!$F$64)),$B$51*(1-Assumptions!$F$74)^(K$5-$B$50+1),0)</f>
        <v>0</v>
      </c>
      <c r="L60" s="14" t="n">
        <f aca="false">IF(AND(L$5&gt;=$B$50,L$5&lt;IF('Unit Economics'!$F$41=1,9999,Assumptions!$F$64)),$B$51*(1-Assumptions!$F$74)^(L$5-$B$50+1),0)</f>
        <v>0</v>
      </c>
    </row>
    <row r="61" customFormat="false" ht="15" hidden="false" customHeight="false" outlineLevel="0" collapsed="false">
      <c r="A61" s="6" t="s">
        <v>340</v>
      </c>
      <c r="C61" s="14" t="n">
        <f aca="false">IF(AND(C$5=IF('Unit Economics'!$F$41=1,9999,Assumptions!$F$64),C$5&gt;=$B$50),$B$51*(1-Assumptions!$F$74)^(C$5-$B$50+0.5)*(1-Assumptions!$F$73),0)</f>
        <v>0</v>
      </c>
      <c r="D61" s="14" t="n">
        <f aca="false">IF(AND(D$5=IF('Unit Economics'!$F$41=1,9999,Assumptions!$F$64),D$5&gt;=$B$50),$B$51*(1-Assumptions!$F$74)^(D$5-$B$50+0.5)*(1-Assumptions!$F$73),0)</f>
        <v>0</v>
      </c>
      <c r="E61" s="14" t="n">
        <f aca="false">IF(AND(E$5=IF('Unit Economics'!$F$41=1,9999,Assumptions!$F$64),E$5&gt;=$B$50),$B$51*(1-Assumptions!$F$74)^(E$5-$B$50+0.5)*(1-Assumptions!$F$73),0)</f>
        <v>0</v>
      </c>
      <c r="F61" s="14" t="n">
        <f aca="false">IF(AND(F$5=IF('Unit Economics'!$F$41=1,9999,Assumptions!$F$64),F$5&gt;=$B$50),$B$51*(1-Assumptions!$F$74)^(F$5-$B$50+0.5)*(1-Assumptions!$F$73),0)</f>
        <v>0</v>
      </c>
      <c r="G61" s="14" t="n">
        <f aca="false">IF(AND(G$5=IF('Unit Economics'!$F$41=1,9999,Assumptions!$F$64),G$5&gt;=$B$50),$B$51*(1-Assumptions!$F$74)^(G$5-$B$50+0.5)*(1-Assumptions!$F$73),0)</f>
        <v>0</v>
      </c>
      <c r="H61" s="14" t="n">
        <f aca="false">IF(AND(H$5=IF('Unit Economics'!$F$41=1,9999,Assumptions!$F$64),H$5&gt;=$B$50),$B$51*(1-Assumptions!$F$74)^(H$5-$B$50+0.5)*(1-Assumptions!$F$73),0)</f>
        <v>0</v>
      </c>
      <c r="I61" s="14" t="n">
        <f aca="false">IF(AND(I$5=IF('Unit Economics'!$F$41=1,9999,Assumptions!$F$64),I$5&gt;=$B$50),$B$51*(1-Assumptions!$F$74)^(I$5-$B$50+0.5)*(1-Assumptions!$F$73),0)</f>
        <v>0</v>
      </c>
      <c r="J61" s="14" t="n">
        <f aca="false">IF(AND(J$5=IF('Unit Economics'!$F$41=1,9999,Assumptions!$F$64),J$5&gt;=$B$50),$B$51*(1-Assumptions!$F$74)^(J$5-$B$50+0.5)*(1-Assumptions!$F$73),0)</f>
        <v>0</v>
      </c>
      <c r="K61" s="14" t="n">
        <f aca="false">IF(AND(K$5=IF('Unit Economics'!$F$41=1,9999,Assumptions!$F$64),K$5&gt;=$B$50),$B$51*(1-Assumptions!$F$74)^(K$5-$B$50+0.5)*(1-Assumptions!$F$73),0)</f>
        <v>0</v>
      </c>
      <c r="L61" s="14" t="n">
        <f aca="false">IF(AND(L$5=IF('Unit Economics'!$F$41=1,9999,Assumptions!$F$64),L$5&gt;=$B$50),$B$51*(1-Assumptions!$F$74)^(L$5-$B$50+0.5)*(1-Assumptions!$F$73),0)</f>
        <v>0</v>
      </c>
    </row>
    <row r="63" customFormat="false" ht="15" hidden="false" customHeight="false" outlineLevel="0" collapsed="false">
      <c r="A63" s="17" t="s">
        <v>344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330</v>
      </c>
      <c r="B64" s="42" t="n">
        <f aca="false">2027+COUNTIF('Fleet Plan'!$C$8:$L$8,"&lt;5")</f>
        <v>2037</v>
      </c>
    </row>
    <row r="65" customFormat="false" ht="15" hidden="false" customHeight="false" outlineLevel="0" collapsed="false">
      <c r="A65" s="6" t="s">
        <v>331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274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332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333</v>
      </c>
      <c r="C68" s="14" t="n">
        <f aca="false">IF(C$5=$B$64,$B$66,IF(AND(C$5&gt;$B$64,C$5&lt;=IF('Unit Economics'!$F$41=1,9999,Assumptions!$F$64)),0,0))</f>
        <v>0</v>
      </c>
      <c r="D68" s="14" t="n">
        <f aca="false">IF(D$5=$B$64,$B$66,IF(AND(D$5&gt;$B$64,D$5&lt;=IF('Unit Economics'!$F$41=1,9999,Assumptions!$F$64)),C73,0))</f>
        <v>0</v>
      </c>
      <c r="E68" s="14" t="n">
        <f aca="false">IF(E$5=$B$64,$B$66,IF(AND(E$5&gt;$B$64,E$5&lt;=IF('Unit Economics'!$F$41=1,9999,Assumptions!$F$64)),D73,0))</f>
        <v>0</v>
      </c>
      <c r="F68" s="14" t="n">
        <f aca="false">IF(F$5=$B$64,$B$66,IF(AND(F$5&gt;$B$64,F$5&lt;=IF('Unit Economics'!$F$41=1,9999,Assumptions!$F$64)),E73,0))</f>
        <v>0</v>
      </c>
      <c r="G68" s="14" t="n">
        <f aca="false">IF(G$5=$B$64,$B$66,IF(AND(G$5&gt;$B$64,G$5&lt;=IF('Unit Economics'!$F$41=1,9999,Assumptions!$F$64)),F73,0))</f>
        <v>0</v>
      </c>
      <c r="H68" s="14" t="n">
        <f aca="false">IF(H$5=$B$64,$B$66,IF(AND(H$5&gt;$B$64,H$5&lt;=IF('Unit Economics'!$F$41=1,9999,Assumptions!$F$64)),G73,0))</f>
        <v>0</v>
      </c>
      <c r="I68" s="14" t="n">
        <f aca="false">IF(I$5=$B$64,$B$66,IF(AND(I$5&gt;$B$64,I$5&lt;=IF('Unit Economics'!$F$41=1,9999,Assumptions!$F$64)),H73,0))</f>
        <v>0</v>
      </c>
      <c r="J68" s="14" t="n">
        <f aca="false">IF(J$5=$B$64,$B$66,IF(AND(J$5&gt;$B$64,J$5&lt;=IF('Unit Economics'!$F$41=1,9999,Assumptions!$F$64)),I73,0))</f>
        <v>0</v>
      </c>
      <c r="K68" s="14" t="n">
        <f aca="false">IF(K$5=$B$64,$B$66,IF(AND(K$5&gt;$B$64,K$5&lt;=IF('Unit Economics'!$F$41=1,9999,Assumptions!$F$64)),J73,0))</f>
        <v>0</v>
      </c>
      <c r="L68" s="14" t="n">
        <f aca="false">IF(L$5=$B$64,$B$66,IF(AND(L$5&gt;$B$64,L$5&lt;=IF('Unit Economics'!$F$41=1,9999,Assumptions!$F$64)),K73,0))</f>
        <v>0</v>
      </c>
    </row>
    <row r="69" customFormat="false" ht="15" hidden="false" customHeight="false" outlineLevel="0" collapsed="false">
      <c r="A69" s="6" t="s">
        <v>334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335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336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337</v>
      </c>
      <c r="C72" s="14" t="n">
        <f aca="false">IF(C$5=IF('Unit Economics'!$F$41=1,9999,Assumptions!$F$64),C68-C71,0)</f>
        <v>0</v>
      </c>
      <c r="D72" s="14" t="n">
        <f aca="false">IF(D$5=IF('Unit Economics'!$F$41=1,9999,Assumptions!$F$64),D68-D71,0)</f>
        <v>0</v>
      </c>
      <c r="E72" s="14" t="n">
        <f aca="false">IF(E$5=IF('Unit Economics'!$F$41=1,9999,Assumptions!$F$64),E68-E71,0)</f>
        <v>0</v>
      </c>
      <c r="F72" s="14" t="n">
        <f aca="false">IF(F$5=IF('Unit Economics'!$F$41=1,9999,Assumptions!$F$64),F68-F71,0)</f>
        <v>0</v>
      </c>
      <c r="G72" s="14" t="n">
        <f aca="false">IF(G$5=IF('Unit Economics'!$F$41=1,9999,Assumptions!$F$64),G68-G71,0)</f>
        <v>0</v>
      </c>
      <c r="H72" s="14" t="n">
        <f aca="false">IF(H$5=IF('Unit Economics'!$F$41=1,9999,Assumptions!$F$64),H68-H71,0)</f>
        <v>0</v>
      </c>
      <c r="I72" s="14" t="n">
        <f aca="false">IF(I$5=IF('Unit Economics'!$F$41=1,9999,Assumptions!$F$64),I68-I71,0)</f>
        <v>0</v>
      </c>
      <c r="J72" s="14" t="n">
        <f aca="false">IF(J$5=IF('Unit Economics'!$F$41=1,9999,Assumptions!$F$64),J68-J71,0)</f>
        <v>0</v>
      </c>
      <c r="K72" s="14" t="n">
        <f aca="false">IF(K$5=IF('Unit Economics'!$F$41=1,9999,Assumptions!$F$64),K68-K71,0)</f>
        <v>0</v>
      </c>
      <c r="L72" s="14" t="n">
        <f aca="false">IF(L$5=IF('Unit Economics'!$F$41=1,9999,Assumptions!$F$64),L68-L71,0)</f>
        <v>0</v>
      </c>
    </row>
    <row r="73" customFormat="false" ht="15" hidden="false" customHeight="false" outlineLevel="0" collapsed="false">
      <c r="A73" s="6" t="s">
        <v>338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339</v>
      </c>
      <c r="C74" s="14" t="n">
        <f aca="false">IF(AND(C$5&gt;=$B$64,C$5&lt;IF('Unit Economics'!$F$41=1,9999,Assumptions!$F$64)),$B$65*(1-Assumptions!$F$74)^(C$5-$B$64+1),0)</f>
        <v>0</v>
      </c>
      <c r="D74" s="14" t="n">
        <f aca="false">IF(AND(D$5&gt;=$B$64,D$5&lt;IF('Unit Economics'!$F$41=1,9999,Assumptions!$F$64)),$B$65*(1-Assumptions!$F$74)^(D$5-$B$64+1),0)</f>
        <v>0</v>
      </c>
      <c r="E74" s="14" t="n">
        <f aca="false">IF(AND(E$5&gt;=$B$64,E$5&lt;IF('Unit Economics'!$F$41=1,9999,Assumptions!$F$64)),$B$65*(1-Assumptions!$F$74)^(E$5-$B$64+1),0)</f>
        <v>0</v>
      </c>
      <c r="F74" s="14" t="n">
        <f aca="false">IF(AND(F$5&gt;=$B$64,F$5&lt;IF('Unit Economics'!$F$41=1,9999,Assumptions!$F$64)),$B$65*(1-Assumptions!$F$74)^(F$5-$B$64+1),0)</f>
        <v>0</v>
      </c>
      <c r="G74" s="14" t="n">
        <f aca="false">IF(AND(G$5&gt;=$B$64,G$5&lt;IF('Unit Economics'!$F$41=1,9999,Assumptions!$F$64)),$B$65*(1-Assumptions!$F$74)^(G$5-$B$64+1),0)</f>
        <v>0</v>
      </c>
      <c r="H74" s="14" t="n">
        <f aca="false">IF(AND(H$5&gt;=$B$64,H$5&lt;IF('Unit Economics'!$F$41=1,9999,Assumptions!$F$64)),$B$65*(1-Assumptions!$F$74)^(H$5-$B$64+1),0)</f>
        <v>0</v>
      </c>
      <c r="I74" s="14" t="n">
        <f aca="false">IF(AND(I$5&gt;=$B$64,I$5&lt;IF('Unit Economics'!$F$41=1,9999,Assumptions!$F$64)),$B$65*(1-Assumptions!$F$74)^(I$5-$B$64+1),0)</f>
        <v>0</v>
      </c>
      <c r="J74" s="14" t="n">
        <f aca="false">IF(AND(J$5&gt;=$B$64,J$5&lt;IF('Unit Economics'!$F$41=1,9999,Assumptions!$F$64)),$B$65*(1-Assumptions!$F$74)^(J$5-$B$64+1),0)</f>
        <v>0</v>
      </c>
      <c r="K74" s="14" t="n">
        <f aca="false">IF(AND(K$5&gt;=$B$64,K$5&lt;IF('Unit Economics'!$F$41=1,9999,Assumptions!$F$64)),$B$65*(1-Assumptions!$F$74)^(K$5-$B$64+1),0)</f>
        <v>0</v>
      </c>
      <c r="L74" s="14" t="n">
        <f aca="false">IF(AND(L$5&gt;=$B$64,L$5&lt;IF('Unit Economics'!$F$41=1,9999,Assumptions!$F$64)),$B$65*(1-Assumptions!$F$74)^(L$5-$B$64+1),0)</f>
        <v>0</v>
      </c>
    </row>
    <row r="75" customFormat="false" ht="15" hidden="false" customHeight="false" outlineLevel="0" collapsed="false">
      <c r="A75" s="6" t="s">
        <v>340</v>
      </c>
      <c r="C75" s="14" t="n">
        <f aca="false">IF(AND(C$5=IF('Unit Economics'!$F$41=1,9999,Assumptions!$F$64),C$5&gt;=$B$64),$B$65*(1-Assumptions!$F$74)^(C$5-$B$64+0.5)*(1-Assumptions!$F$73),0)</f>
        <v>0</v>
      </c>
      <c r="D75" s="14" t="n">
        <f aca="false">IF(AND(D$5=IF('Unit Economics'!$F$41=1,9999,Assumptions!$F$64),D$5&gt;=$B$64),$B$65*(1-Assumptions!$F$74)^(D$5-$B$64+0.5)*(1-Assumptions!$F$73),0)</f>
        <v>0</v>
      </c>
      <c r="E75" s="14" t="n">
        <f aca="false">IF(AND(E$5=IF('Unit Economics'!$F$41=1,9999,Assumptions!$F$64),E$5&gt;=$B$64),$B$65*(1-Assumptions!$F$74)^(E$5-$B$64+0.5)*(1-Assumptions!$F$73),0)</f>
        <v>0</v>
      </c>
      <c r="F75" s="14" t="n">
        <f aca="false">IF(AND(F$5=IF('Unit Economics'!$F$41=1,9999,Assumptions!$F$64),F$5&gt;=$B$64),$B$65*(1-Assumptions!$F$74)^(F$5-$B$64+0.5)*(1-Assumptions!$F$73),0)</f>
        <v>0</v>
      </c>
      <c r="G75" s="14" t="n">
        <f aca="false">IF(AND(G$5=IF('Unit Economics'!$F$41=1,9999,Assumptions!$F$64),G$5&gt;=$B$64),$B$65*(1-Assumptions!$F$74)^(G$5-$B$64+0.5)*(1-Assumptions!$F$73),0)</f>
        <v>0</v>
      </c>
      <c r="H75" s="14" t="n">
        <f aca="false">IF(AND(H$5=IF('Unit Economics'!$F$41=1,9999,Assumptions!$F$64),H$5&gt;=$B$64),$B$65*(1-Assumptions!$F$74)^(H$5-$B$64+0.5)*(1-Assumptions!$F$73),0)</f>
        <v>0</v>
      </c>
      <c r="I75" s="14" t="n">
        <f aca="false">IF(AND(I$5=IF('Unit Economics'!$F$41=1,9999,Assumptions!$F$64),I$5&gt;=$B$64),$B$65*(1-Assumptions!$F$74)^(I$5-$B$64+0.5)*(1-Assumptions!$F$73),0)</f>
        <v>0</v>
      </c>
      <c r="J75" s="14" t="n">
        <f aca="false">IF(AND(J$5=IF('Unit Economics'!$F$41=1,9999,Assumptions!$F$64),J$5&gt;=$B$64),$B$65*(1-Assumptions!$F$74)^(J$5-$B$64+0.5)*(1-Assumptions!$F$73),0)</f>
        <v>0</v>
      </c>
      <c r="K75" s="14" t="n">
        <f aca="false">IF(AND(K$5=IF('Unit Economics'!$F$41=1,9999,Assumptions!$F$64),K$5&gt;=$B$64),$B$65*(1-Assumptions!$F$74)^(K$5-$B$64+0.5)*(1-Assumptions!$F$73),0)</f>
        <v>0</v>
      </c>
      <c r="L75" s="14" t="n">
        <f aca="false">IF(AND(L$5=IF('Unit Economics'!$F$41=1,9999,Assumptions!$F$64),L$5&gt;=$B$64),$B$65*(1-Assumptions!$F$74)^(L$5-$B$64+0.5)*(1-Assumptions!$F$73),0)</f>
        <v>0</v>
      </c>
    </row>
    <row r="77" customFormat="false" ht="15" hidden="false" customHeight="false" outlineLevel="0" collapsed="false">
      <c r="A77" s="17" t="s">
        <v>345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330</v>
      </c>
      <c r="B78" s="42" t="n">
        <f aca="false">2027+COUNTIF('Fleet Plan'!$C$8:$L$8,"&lt;6")</f>
        <v>2037</v>
      </c>
    </row>
    <row r="79" customFormat="false" ht="15" hidden="false" customHeight="false" outlineLevel="0" collapsed="false">
      <c r="A79" s="6" t="s">
        <v>331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274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332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333</v>
      </c>
      <c r="C82" s="14" t="n">
        <f aca="false">IF(C$5=$B$78,$B$80,IF(AND(C$5&gt;$B$78,C$5&lt;=IF('Unit Economics'!$F$41=1,9999,Assumptions!$F$64)),0,0))</f>
        <v>0</v>
      </c>
      <c r="D82" s="14" t="n">
        <f aca="false">IF(D$5=$B$78,$B$80,IF(AND(D$5&gt;$B$78,D$5&lt;=IF('Unit Economics'!$F$41=1,9999,Assumptions!$F$64)),C87,0))</f>
        <v>0</v>
      </c>
      <c r="E82" s="14" t="n">
        <f aca="false">IF(E$5=$B$78,$B$80,IF(AND(E$5&gt;$B$78,E$5&lt;=IF('Unit Economics'!$F$41=1,9999,Assumptions!$F$64)),D87,0))</f>
        <v>0</v>
      </c>
      <c r="F82" s="14" t="n">
        <f aca="false">IF(F$5=$B$78,$B$80,IF(AND(F$5&gt;$B$78,F$5&lt;=IF('Unit Economics'!$F$41=1,9999,Assumptions!$F$64)),E87,0))</f>
        <v>0</v>
      </c>
      <c r="G82" s="14" t="n">
        <f aca="false">IF(G$5=$B$78,$B$80,IF(AND(G$5&gt;$B$78,G$5&lt;=IF('Unit Economics'!$F$41=1,9999,Assumptions!$F$64)),F87,0))</f>
        <v>0</v>
      </c>
      <c r="H82" s="14" t="n">
        <f aca="false">IF(H$5=$B$78,$B$80,IF(AND(H$5&gt;$B$78,H$5&lt;=IF('Unit Economics'!$F$41=1,9999,Assumptions!$F$64)),G87,0))</f>
        <v>0</v>
      </c>
      <c r="I82" s="14" t="n">
        <f aca="false">IF(I$5=$B$78,$B$80,IF(AND(I$5&gt;$B$78,I$5&lt;=IF('Unit Economics'!$F$41=1,9999,Assumptions!$F$64)),H87,0))</f>
        <v>0</v>
      </c>
      <c r="J82" s="14" t="n">
        <f aca="false">IF(J$5=$B$78,$B$80,IF(AND(J$5&gt;$B$78,J$5&lt;=IF('Unit Economics'!$F$41=1,9999,Assumptions!$F$64)),I87,0))</f>
        <v>0</v>
      </c>
      <c r="K82" s="14" t="n">
        <f aca="false">IF(K$5=$B$78,$B$80,IF(AND(K$5&gt;$B$78,K$5&lt;=IF('Unit Economics'!$F$41=1,9999,Assumptions!$F$64)),J87,0))</f>
        <v>0</v>
      </c>
      <c r="L82" s="14" t="n">
        <f aca="false">IF(L$5=$B$78,$B$80,IF(AND(L$5&gt;$B$78,L$5&lt;=IF('Unit Economics'!$F$41=1,9999,Assumptions!$F$64)),K87,0))</f>
        <v>0</v>
      </c>
    </row>
    <row r="83" customFormat="false" ht="15" hidden="false" customHeight="false" outlineLevel="0" collapsed="false">
      <c r="A83" s="6" t="s">
        <v>334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335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336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337</v>
      </c>
      <c r="C86" s="14" t="n">
        <f aca="false">IF(C$5=IF('Unit Economics'!$F$41=1,9999,Assumptions!$F$64),C82-C85,0)</f>
        <v>0</v>
      </c>
      <c r="D86" s="14" t="n">
        <f aca="false">IF(D$5=IF('Unit Economics'!$F$41=1,9999,Assumptions!$F$64),D82-D85,0)</f>
        <v>0</v>
      </c>
      <c r="E86" s="14" t="n">
        <f aca="false">IF(E$5=IF('Unit Economics'!$F$41=1,9999,Assumptions!$F$64),E82-E85,0)</f>
        <v>0</v>
      </c>
      <c r="F86" s="14" t="n">
        <f aca="false">IF(F$5=IF('Unit Economics'!$F$41=1,9999,Assumptions!$F$64),F82-F85,0)</f>
        <v>0</v>
      </c>
      <c r="G86" s="14" t="n">
        <f aca="false">IF(G$5=IF('Unit Economics'!$F$41=1,9999,Assumptions!$F$64),G82-G85,0)</f>
        <v>0</v>
      </c>
      <c r="H86" s="14" t="n">
        <f aca="false">IF(H$5=IF('Unit Economics'!$F$41=1,9999,Assumptions!$F$64),H82-H85,0)</f>
        <v>0</v>
      </c>
      <c r="I86" s="14" t="n">
        <f aca="false">IF(I$5=IF('Unit Economics'!$F$41=1,9999,Assumptions!$F$64),I82-I85,0)</f>
        <v>0</v>
      </c>
      <c r="J86" s="14" t="n">
        <f aca="false">IF(J$5=IF('Unit Economics'!$F$41=1,9999,Assumptions!$F$64),J82-J85,0)</f>
        <v>0</v>
      </c>
      <c r="K86" s="14" t="n">
        <f aca="false">IF(K$5=IF('Unit Economics'!$F$41=1,9999,Assumptions!$F$64),K82-K85,0)</f>
        <v>0</v>
      </c>
      <c r="L86" s="14" t="n">
        <f aca="false">IF(L$5=IF('Unit Economics'!$F$41=1,9999,Assumptions!$F$64),L82-L85,0)</f>
        <v>0</v>
      </c>
    </row>
    <row r="87" customFormat="false" ht="15" hidden="false" customHeight="false" outlineLevel="0" collapsed="false">
      <c r="A87" s="6" t="s">
        <v>338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339</v>
      </c>
      <c r="C88" s="14" t="n">
        <f aca="false">IF(AND(C$5&gt;=$B$78,C$5&lt;IF('Unit Economics'!$F$41=1,9999,Assumptions!$F$64)),$B$79*(1-Assumptions!$F$74)^(C$5-$B$78+1),0)</f>
        <v>0</v>
      </c>
      <c r="D88" s="14" t="n">
        <f aca="false">IF(AND(D$5&gt;=$B$78,D$5&lt;IF('Unit Economics'!$F$41=1,9999,Assumptions!$F$64)),$B$79*(1-Assumptions!$F$74)^(D$5-$B$78+1),0)</f>
        <v>0</v>
      </c>
      <c r="E88" s="14" t="n">
        <f aca="false">IF(AND(E$5&gt;=$B$78,E$5&lt;IF('Unit Economics'!$F$41=1,9999,Assumptions!$F$64)),$B$79*(1-Assumptions!$F$74)^(E$5-$B$78+1),0)</f>
        <v>0</v>
      </c>
      <c r="F88" s="14" t="n">
        <f aca="false">IF(AND(F$5&gt;=$B$78,F$5&lt;IF('Unit Economics'!$F$41=1,9999,Assumptions!$F$64)),$B$79*(1-Assumptions!$F$74)^(F$5-$B$78+1),0)</f>
        <v>0</v>
      </c>
      <c r="G88" s="14" t="n">
        <f aca="false">IF(AND(G$5&gt;=$B$78,G$5&lt;IF('Unit Economics'!$F$41=1,9999,Assumptions!$F$64)),$B$79*(1-Assumptions!$F$74)^(G$5-$B$78+1),0)</f>
        <v>0</v>
      </c>
      <c r="H88" s="14" t="n">
        <f aca="false">IF(AND(H$5&gt;=$B$78,H$5&lt;IF('Unit Economics'!$F$41=1,9999,Assumptions!$F$64)),$B$79*(1-Assumptions!$F$74)^(H$5-$B$78+1),0)</f>
        <v>0</v>
      </c>
      <c r="I88" s="14" t="n">
        <f aca="false">IF(AND(I$5&gt;=$B$78,I$5&lt;IF('Unit Economics'!$F$41=1,9999,Assumptions!$F$64)),$B$79*(1-Assumptions!$F$74)^(I$5-$B$78+1),0)</f>
        <v>0</v>
      </c>
      <c r="J88" s="14" t="n">
        <f aca="false">IF(AND(J$5&gt;=$B$78,J$5&lt;IF('Unit Economics'!$F$41=1,9999,Assumptions!$F$64)),$B$79*(1-Assumptions!$F$74)^(J$5-$B$78+1),0)</f>
        <v>0</v>
      </c>
      <c r="K88" s="14" t="n">
        <f aca="false">IF(AND(K$5&gt;=$B$78,K$5&lt;IF('Unit Economics'!$F$41=1,9999,Assumptions!$F$64)),$B$79*(1-Assumptions!$F$74)^(K$5-$B$78+1),0)</f>
        <v>0</v>
      </c>
      <c r="L88" s="14" t="n">
        <f aca="false">IF(AND(L$5&gt;=$B$78,L$5&lt;IF('Unit Economics'!$F$41=1,9999,Assumptions!$F$64)),$B$79*(1-Assumptions!$F$74)^(L$5-$B$78+1),0)</f>
        <v>0</v>
      </c>
    </row>
    <row r="89" customFormat="false" ht="15" hidden="false" customHeight="false" outlineLevel="0" collapsed="false">
      <c r="A89" s="6" t="s">
        <v>340</v>
      </c>
      <c r="C89" s="14" t="n">
        <f aca="false">IF(AND(C$5=IF('Unit Economics'!$F$41=1,9999,Assumptions!$F$64),C$5&gt;=$B$78),$B$79*(1-Assumptions!$F$74)^(C$5-$B$78+0.5)*(1-Assumptions!$F$73),0)</f>
        <v>0</v>
      </c>
      <c r="D89" s="14" t="n">
        <f aca="false">IF(AND(D$5=IF('Unit Economics'!$F$41=1,9999,Assumptions!$F$64),D$5&gt;=$B$78),$B$79*(1-Assumptions!$F$74)^(D$5-$B$78+0.5)*(1-Assumptions!$F$73),0)</f>
        <v>0</v>
      </c>
      <c r="E89" s="14" t="n">
        <f aca="false">IF(AND(E$5=IF('Unit Economics'!$F$41=1,9999,Assumptions!$F$64),E$5&gt;=$B$78),$B$79*(1-Assumptions!$F$74)^(E$5-$B$78+0.5)*(1-Assumptions!$F$73),0)</f>
        <v>0</v>
      </c>
      <c r="F89" s="14" t="n">
        <f aca="false">IF(AND(F$5=IF('Unit Economics'!$F$41=1,9999,Assumptions!$F$64),F$5&gt;=$B$78),$B$79*(1-Assumptions!$F$74)^(F$5-$B$78+0.5)*(1-Assumptions!$F$73),0)</f>
        <v>0</v>
      </c>
      <c r="G89" s="14" t="n">
        <f aca="false">IF(AND(G$5=IF('Unit Economics'!$F$41=1,9999,Assumptions!$F$64),G$5&gt;=$B$78),$B$79*(1-Assumptions!$F$74)^(G$5-$B$78+0.5)*(1-Assumptions!$F$73),0)</f>
        <v>0</v>
      </c>
      <c r="H89" s="14" t="n">
        <f aca="false">IF(AND(H$5=IF('Unit Economics'!$F$41=1,9999,Assumptions!$F$64),H$5&gt;=$B$78),$B$79*(1-Assumptions!$F$74)^(H$5-$B$78+0.5)*(1-Assumptions!$F$73),0)</f>
        <v>0</v>
      </c>
      <c r="I89" s="14" t="n">
        <f aca="false">IF(AND(I$5=IF('Unit Economics'!$F$41=1,9999,Assumptions!$F$64),I$5&gt;=$B$78),$B$79*(1-Assumptions!$F$74)^(I$5-$B$78+0.5)*(1-Assumptions!$F$73),0)</f>
        <v>0</v>
      </c>
      <c r="J89" s="14" t="n">
        <f aca="false">IF(AND(J$5=IF('Unit Economics'!$F$41=1,9999,Assumptions!$F$64),J$5&gt;=$B$78),$B$79*(1-Assumptions!$F$74)^(J$5-$B$78+0.5)*(1-Assumptions!$F$73),0)</f>
        <v>0</v>
      </c>
      <c r="K89" s="14" t="n">
        <f aca="false">IF(AND(K$5=IF('Unit Economics'!$F$41=1,9999,Assumptions!$F$64),K$5&gt;=$B$78),$B$79*(1-Assumptions!$F$74)^(K$5-$B$78+0.5)*(1-Assumptions!$F$73),0)</f>
        <v>0</v>
      </c>
      <c r="L89" s="14" t="n">
        <f aca="false">IF(AND(L$5=IF('Unit Economics'!$F$41=1,9999,Assumptions!$F$64),L$5&gt;=$B$78),$B$79*(1-Assumptions!$F$74)^(L$5-$B$78+0.5)*(1-Assumptions!$F$73),0)</f>
        <v>0</v>
      </c>
    </row>
    <row r="91" customFormat="false" ht="15" hidden="false" customHeight="false" outlineLevel="0" collapsed="false">
      <c r="A91" s="17" t="s">
        <v>346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330</v>
      </c>
      <c r="B92" s="42" t="n">
        <f aca="false">2027+COUNTIF('Fleet Plan'!$C$8:$L$8,"&lt;7")</f>
        <v>2037</v>
      </c>
    </row>
    <row r="93" customFormat="false" ht="15" hidden="false" customHeight="false" outlineLevel="0" collapsed="false">
      <c r="A93" s="6" t="s">
        <v>331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274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332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333</v>
      </c>
      <c r="C96" s="14" t="n">
        <f aca="false">IF(C$5=$B$92,$B$94,IF(AND(C$5&gt;$B$92,C$5&lt;=IF('Unit Economics'!$F$41=1,9999,Assumptions!$F$64)),0,0))</f>
        <v>0</v>
      </c>
      <c r="D96" s="14" t="n">
        <f aca="false">IF(D$5=$B$92,$B$94,IF(AND(D$5&gt;$B$92,D$5&lt;=IF('Unit Economics'!$F$41=1,9999,Assumptions!$F$64)),C101,0))</f>
        <v>0</v>
      </c>
      <c r="E96" s="14" t="n">
        <f aca="false">IF(E$5=$B$92,$B$94,IF(AND(E$5&gt;$B$92,E$5&lt;=IF('Unit Economics'!$F$41=1,9999,Assumptions!$F$64)),D101,0))</f>
        <v>0</v>
      </c>
      <c r="F96" s="14" t="n">
        <f aca="false">IF(F$5=$B$92,$B$94,IF(AND(F$5&gt;$B$92,F$5&lt;=IF('Unit Economics'!$F$41=1,9999,Assumptions!$F$64)),E101,0))</f>
        <v>0</v>
      </c>
      <c r="G96" s="14" t="n">
        <f aca="false">IF(G$5=$B$92,$B$94,IF(AND(G$5&gt;$B$92,G$5&lt;=IF('Unit Economics'!$F$41=1,9999,Assumptions!$F$64)),F101,0))</f>
        <v>0</v>
      </c>
      <c r="H96" s="14" t="n">
        <f aca="false">IF(H$5=$B$92,$B$94,IF(AND(H$5&gt;$B$92,H$5&lt;=IF('Unit Economics'!$F$41=1,9999,Assumptions!$F$64)),G101,0))</f>
        <v>0</v>
      </c>
      <c r="I96" s="14" t="n">
        <f aca="false">IF(I$5=$B$92,$B$94,IF(AND(I$5&gt;$B$92,I$5&lt;=IF('Unit Economics'!$F$41=1,9999,Assumptions!$F$64)),H101,0))</f>
        <v>0</v>
      </c>
      <c r="J96" s="14" t="n">
        <f aca="false">IF(J$5=$B$92,$B$94,IF(AND(J$5&gt;$B$92,J$5&lt;=IF('Unit Economics'!$F$41=1,9999,Assumptions!$F$64)),I101,0))</f>
        <v>0</v>
      </c>
      <c r="K96" s="14" t="n">
        <f aca="false">IF(K$5=$B$92,$B$94,IF(AND(K$5&gt;$B$92,K$5&lt;=IF('Unit Economics'!$F$41=1,9999,Assumptions!$F$64)),J101,0))</f>
        <v>0</v>
      </c>
      <c r="L96" s="14" t="n">
        <f aca="false">IF(L$5=$B$92,$B$94,IF(AND(L$5&gt;$B$92,L$5&lt;=IF('Unit Economics'!$F$41=1,9999,Assumptions!$F$64)),K101,0))</f>
        <v>0</v>
      </c>
    </row>
    <row r="97" customFormat="false" ht="15" hidden="false" customHeight="false" outlineLevel="0" collapsed="false">
      <c r="A97" s="6" t="s">
        <v>334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335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336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337</v>
      </c>
      <c r="C100" s="14" t="n">
        <f aca="false">IF(C$5=IF('Unit Economics'!$F$41=1,9999,Assumptions!$F$64),C96-C99,0)</f>
        <v>0</v>
      </c>
      <c r="D100" s="14" t="n">
        <f aca="false">IF(D$5=IF('Unit Economics'!$F$41=1,9999,Assumptions!$F$64),D96-D99,0)</f>
        <v>0</v>
      </c>
      <c r="E100" s="14" t="n">
        <f aca="false">IF(E$5=IF('Unit Economics'!$F$41=1,9999,Assumptions!$F$64),E96-E99,0)</f>
        <v>0</v>
      </c>
      <c r="F100" s="14" t="n">
        <f aca="false">IF(F$5=IF('Unit Economics'!$F$41=1,9999,Assumptions!$F$64),F96-F99,0)</f>
        <v>0</v>
      </c>
      <c r="G100" s="14" t="n">
        <f aca="false">IF(G$5=IF('Unit Economics'!$F$41=1,9999,Assumptions!$F$64),G96-G99,0)</f>
        <v>0</v>
      </c>
      <c r="H100" s="14" t="n">
        <f aca="false">IF(H$5=IF('Unit Economics'!$F$41=1,9999,Assumptions!$F$64),H96-H99,0)</f>
        <v>0</v>
      </c>
      <c r="I100" s="14" t="n">
        <f aca="false">IF(I$5=IF('Unit Economics'!$F$41=1,9999,Assumptions!$F$64),I96-I99,0)</f>
        <v>0</v>
      </c>
      <c r="J100" s="14" t="n">
        <f aca="false">IF(J$5=IF('Unit Economics'!$F$41=1,9999,Assumptions!$F$64),J96-J99,0)</f>
        <v>0</v>
      </c>
      <c r="K100" s="14" t="n">
        <f aca="false">IF(K$5=IF('Unit Economics'!$F$41=1,9999,Assumptions!$F$64),K96-K99,0)</f>
        <v>0</v>
      </c>
      <c r="L100" s="14" t="n">
        <f aca="false">IF(L$5=IF('Unit Economics'!$F$41=1,9999,Assumptions!$F$64),L96-L99,0)</f>
        <v>0</v>
      </c>
    </row>
    <row r="101" customFormat="false" ht="15" hidden="false" customHeight="false" outlineLevel="0" collapsed="false">
      <c r="A101" s="6" t="s">
        <v>338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339</v>
      </c>
      <c r="C102" s="14" t="n">
        <f aca="false">IF(AND(C$5&gt;=$B$92,C$5&lt;IF('Unit Economics'!$F$41=1,9999,Assumptions!$F$64)),$B$93*(1-Assumptions!$F$74)^(C$5-$B$92+1),0)</f>
        <v>0</v>
      </c>
      <c r="D102" s="14" t="n">
        <f aca="false">IF(AND(D$5&gt;=$B$92,D$5&lt;IF('Unit Economics'!$F$41=1,9999,Assumptions!$F$64)),$B$93*(1-Assumptions!$F$74)^(D$5-$B$92+1),0)</f>
        <v>0</v>
      </c>
      <c r="E102" s="14" t="n">
        <f aca="false">IF(AND(E$5&gt;=$B$92,E$5&lt;IF('Unit Economics'!$F$41=1,9999,Assumptions!$F$64)),$B$93*(1-Assumptions!$F$74)^(E$5-$B$92+1),0)</f>
        <v>0</v>
      </c>
      <c r="F102" s="14" t="n">
        <f aca="false">IF(AND(F$5&gt;=$B$92,F$5&lt;IF('Unit Economics'!$F$41=1,9999,Assumptions!$F$64)),$B$93*(1-Assumptions!$F$74)^(F$5-$B$92+1),0)</f>
        <v>0</v>
      </c>
      <c r="G102" s="14" t="n">
        <f aca="false">IF(AND(G$5&gt;=$B$92,G$5&lt;IF('Unit Economics'!$F$41=1,9999,Assumptions!$F$64)),$B$93*(1-Assumptions!$F$74)^(G$5-$B$92+1),0)</f>
        <v>0</v>
      </c>
      <c r="H102" s="14" t="n">
        <f aca="false">IF(AND(H$5&gt;=$B$92,H$5&lt;IF('Unit Economics'!$F$41=1,9999,Assumptions!$F$64)),$B$93*(1-Assumptions!$F$74)^(H$5-$B$92+1),0)</f>
        <v>0</v>
      </c>
      <c r="I102" s="14" t="n">
        <f aca="false">IF(AND(I$5&gt;=$B$92,I$5&lt;IF('Unit Economics'!$F$41=1,9999,Assumptions!$F$64)),$B$93*(1-Assumptions!$F$74)^(I$5-$B$92+1),0)</f>
        <v>0</v>
      </c>
      <c r="J102" s="14" t="n">
        <f aca="false">IF(AND(J$5&gt;=$B$92,J$5&lt;IF('Unit Economics'!$F$41=1,9999,Assumptions!$F$64)),$B$93*(1-Assumptions!$F$74)^(J$5-$B$92+1),0)</f>
        <v>0</v>
      </c>
      <c r="K102" s="14" t="n">
        <f aca="false">IF(AND(K$5&gt;=$B$92,K$5&lt;IF('Unit Economics'!$F$41=1,9999,Assumptions!$F$64)),$B$93*(1-Assumptions!$F$74)^(K$5-$B$92+1),0)</f>
        <v>0</v>
      </c>
      <c r="L102" s="14" t="n">
        <f aca="false">IF(AND(L$5&gt;=$B$92,L$5&lt;IF('Unit Economics'!$F$41=1,9999,Assumptions!$F$64)),$B$93*(1-Assumptions!$F$74)^(L$5-$B$92+1),0)</f>
        <v>0</v>
      </c>
    </row>
    <row r="103" customFormat="false" ht="15" hidden="false" customHeight="false" outlineLevel="0" collapsed="false">
      <c r="A103" s="6" t="s">
        <v>340</v>
      </c>
      <c r="C103" s="14" t="n">
        <f aca="false">IF(AND(C$5=IF('Unit Economics'!$F$41=1,9999,Assumptions!$F$64),C$5&gt;=$B$92),$B$93*(1-Assumptions!$F$74)^(C$5-$B$92+0.5)*(1-Assumptions!$F$73),0)</f>
        <v>0</v>
      </c>
      <c r="D103" s="14" t="n">
        <f aca="false">IF(AND(D$5=IF('Unit Economics'!$F$41=1,9999,Assumptions!$F$64),D$5&gt;=$B$92),$B$93*(1-Assumptions!$F$74)^(D$5-$B$92+0.5)*(1-Assumptions!$F$73),0)</f>
        <v>0</v>
      </c>
      <c r="E103" s="14" t="n">
        <f aca="false">IF(AND(E$5=IF('Unit Economics'!$F$41=1,9999,Assumptions!$F$64),E$5&gt;=$B$92),$B$93*(1-Assumptions!$F$74)^(E$5-$B$92+0.5)*(1-Assumptions!$F$73),0)</f>
        <v>0</v>
      </c>
      <c r="F103" s="14" t="n">
        <f aca="false">IF(AND(F$5=IF('Unit Economics'!$F$41=1,9999,Assumptions!$F$64),F$5&gt;=$B$92),$B$93*(1-Assumptions!$F$74)^(F$5-$B$92+0.5)*(1-Assumptions!$F$73),0)</f>
        <v>0</v>
      </c>
      <c r="G103" s="14" t="n">
        <f aca="false">IF(AND(G$5=IF('Unit Economics'!$F$41=1,9999,Assumptions!$F$64),G$5&gt;=$B$92),$B$93*(1-Assumptions!$F$74)^(G$5-$B$92+0.5)*(1-Assumptions!$F$73),0)</f>
        <v>0</v>
      </c>
      <c r="H103" s="14" t="n">
        <f aca="false">IF(AND(H$5=IF('Unit Economics'!$F$41=1,9999,Assumptions!$F$64),H$5&gt;=$B$92),$B$93*(1-Assumptions!$F$74)^(H$5-$B$92+0.5)*(1-Assumptions!$F$73),0)</f>
        <v>0</v>
      </c>
      <c r="I103" s="14" t="n">
        <f aca="false">IF(AND(I$5=IF('Unit Economics'!$F$41=1,9999,Assumptions!$F$64),I$5&gt;=$B$92),$B$93*(1-Assumptions!$F$74)^(I$5-$B$92+0.5)*(1-Assumptions!$F$73),0)</f>
        <v>0</v>
      </c>
      <c r="J103" s="14" t="n">
        <f aca="false">IF(AND(J$5=IF('Unit Economics'!$F$41=1,9999,Assumptions!$F$64),J$5&gt;=$B$92),$B$93*(1-Assumptions!$F$74)^(J$5-$B$92+0.5)*(1-Assumptions!$F$73),0)</f>
        <v>0</v>
      </c>
      <c r="K103" s="14" t="n">
        <f aca="false">IF(AND(K$5=IF('Unit Economics'!$F$41=1,9999,Assumptions!$F$64),K$5&gt;=$B$92),$B$93*(1-Assumptions!$F$74)^(K$5-$B$92+0.5)*(1-Assumptions!$F$73),0)</f>
        <v>0</v>
      </c>
      <c r="L103" s="14" t="n">
        <f aca="false">IF(AND(L$5=IF('Unit Economics'!$F$41=1,9999,Assumptions!$F$64),L$5&gt;=$B$92),$B$93*(1-Assumptions!$F$74)^(L$5-$B$92+0.5)*(1-Assumptions!$F$73),0)</f>
        <v>0</v>
      </c>
    </row>
    <row r="105" customFormat="false" ht="15" hidden="false" customHeight="false" outlineLevel="0" collapsed="false">
      <c r="A105" s="17" t="s">
        <v>347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348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349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350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351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352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353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354</v>
      </c>
    </row>
    <row r="2" customFormat="false" ht="15" hidden="false" customHeight="false" outlineLevel="0" collapsed="false">
      <c r="A2" s="2" t="s">
        <v>355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296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356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357</v>
      </c>
      <c r="C7" s="21" t="n">
        <f aca="false">IF(OR(C5&lt;'Fleet Plan'!$B$6+Assumptions!$F$57,AND('Unit Economics'!$F$41=0,SUM('Fleet Plan'!$C$7:$L$7)=0)),1,0)</f>
        <v>1</v>
      </c>
      <c r="D7" s="21" t="n">
        <f aca="false">IF(OR(D5&lt;'Fleet Plan'!$B$6+Assumptions!$F$57,AND('Unit Economics'!$F$41=0,SUM('Fleet Plan'!$C$7:$L$7)=0)),1,0)</f>
        <v>1</v>
      </c>
      <c r="E7" s="21" t="n">
        <f aca="false">IF(OR(E5&lt;'Fleet Plan'!$B$6+Assumptions!$F$57,AND('Unit Economics'!$F$41=0,SUM('Fleet Plan'!$C$7:$L$7)=0)),1,0)</f>
        <v>1</v>
      </c>
      <c r="F7" s="21" t="n">
        <f aca="false">IF(OR(F5&lt;'Fleet Plan'!$B$6+Assumptions!$F$57,AND('Unit Economics'!$F$41=0,SUM('Fleet Plan'!$C$7:$L$7)=0)),1,0)</f>
        <v>1</v>
      </c>
      <c r="G7" s="21" t="n">
        <f aca="false">IF(OR(G5&lt;'Fleet Plan'!$B$6+Assumptions!$F$57,AND('Unit Economics'!$F$41=0,SUM('Fleet Plan'!$C$7:$L$7)=0)),1,0)</f>
        <v>1</v>
      </c>
      <c r="H7" s="21" t="n">
        <f aca="false">IF(OR(H5&lt;'Fleet Plan'!$B$6+Assumptions!$F$57,AND('Unit Economics'!$F$41=0,SUM('Fleet Plan'!$C$7:$L$7)=0)),1,0)</f>
        <v>1</v>
      </c>
      <c r="I7" s="21" t="n">
        <f aca="false">IF(OR(I5&lt;'Fleet Plan'!$B$6+Assumptions!$F$57,AND('Unit Economics'!$F$41=0,SUM('Fleet Plan'!$C$7:$L$7)=0)),1,0)</f>
        <v>1</v>
      </c>
      <c r="J7" s="21" t="n">
        <f aca="false">IF(OR(J5&lt;'Fleet Plan'!$B$6+Assumptions!$F$57,AND('Unit Economics'!$F$41=0,SUM('Fleet Plan'!$C$7:$L$7)=0)),1,0)</f>
        <v>1</v>
      </c>
      <c r="K7" s="21" t="n">
        <f aca="false">IF(OR(K5&lt;'Fleet Plan'!$B$6+Assumptions!$F$57,AND('Unit Economics'!$F$41=0,SUM('Fleet Plan'!$C$7:$L$7)=0)),1,0)</f>
        <v>1</v>
      </c>
      <c r="L7" s="21" t="n">
        <f aca="false">IF(OR(L5&lt;'Fleet Plan'!$B$6+Assumptions!$F$57,AND('Unit Economics'!$F$41=0,SUM('Fleet Plan'!$C$7:$L$7)=0)),1,0)</f>
        <v>1</v>
      </c>
    </row>
    <row r="8" customFormat="false" ht="15" hidden="false" customHeight="false" outlineLevel="0" collapsed="false">
      <c r="A8" s="6" t="s">
        <v>358</v>
      </c>
      <c r="C8" s="44" t="n">
        <f aca="false">(1+Assumptions!$F$54)^C6</f>
        <v>1</v>
      </c>
      <c r="D8" s="44" t="n">
        <f aca="false">(1+Assumptions!$F$54)^D6</f>
        <v>1.03</v>
      </c>
      <c r="E8" s="44" t="n">
        <f aca="false">(1+Assumptions!$F$54)^E6</f>
        <v>1.0609</v>
      </c>
      <c r="F8" s="44" t="n">
        <f aca="false">(1+Assumptions!$F$54)^F6</f>
        <v>1.092727</v>
      </c>
      <c r="G8" s="44" t="n">
        <f aca="false">(1+Assumptions!$F$54)^G6</f>
        <v>1.12550881</v>
      </c>
      <c r="H8" s="44" t="n">
        <f aca="false">(1+Assumptions!$F$54)^H6</f>
        <v>1.1592740743</v>
      </c>
      <c r="I8" s="44" t="n">
        <f aca="false">(1+Assumptions!$F$54)^I6</f>
        <v>1.194052296529</v>
      </c>
      <c r="J8" s="44" t="n">
        <f aca="false">(1+Assumptions!$F$54)^J6</f>
        <v>1.22987386542487</v>
      </c>
      <c r="K8" s="44" t="n">
        <f aca="false">(1+Assumptions!$F$54)^K6</f>
        <v>1.26677008138762</v>
      </c>
      <c r="L8" s="44" t="n">
        <f aca="false">(1+Assumptions!$F$54)^L6</f>
        <v>1.30477318382925</v>
      </c>
    </row>
    <row r="10" customFormat="false" ht="15" hidden="false" customHeight="false" outlineLevel="0" collapsed="false">
      <c r="A10" s="17" t="s">
        <v>359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360</v>
      </c>
      <c r="C11" s="21" t="n">
        <f aca="false">'Fleet Plan'!C9</f>
        <v>1</v>
      </c>
      <c r="D11" s="21" t="n">
        <f aca="false">'Fleet Plan'!D9</f>
        <v>1</v>
      </c>
      <c r="E11" s="21" t="n">
        <f aca="false">'Fleet Plan'!E9</f>
        <v>0</v>
      </c>
      <c r="F11" s="21" t="n">
        <f aca="false">'Fleet Plan'!F9</f>
        <v>0</v>
      </c>
      <c r="G11" s="21" t="n">
        <f aca="false">'Fleet Plan'!G9</f>
        <v>0</v>
      </c>
      <c r="H11" s="21" t="n">
        <f aca="false">'Fleet Plan'!H9</f>
        <v>0</v>
      </c>
      <c r="I11" s="21" t="n">
        <f aca="false">'Fleet Plan'!I9</f>
        <v>0</v>
      </c>
      <c r="J11" s="21" t="n">
        <f aca="false">'Fleet Plan'!J9</f>
        <v>0</v>
      </c>
      <c r="K11" s="21" t="n">
        <f aca="false">'Fleet Plan'!K9</f>
        <v>0</v>
      </c>
      <c r="L11" s="21" t="n">
        <f aca="false">'Fleet Plan'!L9</f>
        <v>0</v>
      </c>
    </row>
    <row r="12" customFormat="false" ht="15" hidden="false" customHeight="false" outlineLevel="0" collapsed="false">
      <c r="A12" s="6" t="s">
        <v>361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362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293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363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364</v>
      </c>
      <c r="C16" s="21" t="n">
        <f aca="false">'Fleet Plan'!C7*(1-C7)</f>
        <v>0</v>
      </c>
      <c r="D16" s="21" t="n">
        <f aca="false">'Fleet Plan'!D7*(1-D7)</f>
        <v>0</v>
      </c>
      <c r="E16" s="21" t="n">
        <f aca="false">'Fleet Plan'!E7*(1-E7)</f>
        <v>0</v>
      </c>
      <c r="F16" s="21" t="n">
        <f aca="false">'Fleet Plan'!F7*(1-F7)</f>
        <v>0</v>
      </c>
      <c r="G16" s="21" t="n">
        <f aca="false">'Fleet Plan'!G7*(1-G7)</f>
        <v>0</v>
      </c>
      <c r="H16" s="21" t="n">
        <f aca="false">'Fleet Plan'!H7*(1-H7)</f>
        <v>0</v>
      </c>
      <c r="I16" s="21" t="n">
        <f aca="false">'Fleet Plan'!I7*(1-I7)</f>
        <v>0</v>
      </c>
      <c r="J16" s="21" t="n">
        <f aca="false">'Fleet Plan'!J7*(1-J7)</f>
        <v>0</v>
      </c>
      <c r="K16" s="21" t="n">
        <f aca="false">'Fleet Plan'!K7*(1-K7)</f>
        <v>0</v>
      </c>
      <c r="L16" s="21" t="n">
        <f aca="false">'Fleet Plan'!L7*(1-L7)</f>
        <v>0</v>
      </c>
    </row>
    <row r="17" customFormat="false" ht="15" hidden="false" customHeight="false" outlineLevel="0" collapsed="false">
      <c r="A17" s="6" t="s">
        <v>365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</v>
      </c>
      <c r="G17" s="46" t="n">
        <f aca="false">(F16+G16)/2</f>
        <v>0</v>
      </c>
      <c r="H17" s="46" t="n">
        <f aca="false">(G16+H16)/2</f>
        <v>0</v>
      </c>
      <c r="I17" s="46" t="n">
        <f aca="false">(H16+I16)/2</f>
        <v>0</v>
      </c>
      <c r="J17" s="46" t="n">
        <f aca="false">(I16+J16)/2</f>
        <v>0</v>
      </c>
      <c r="K17" s="46" t="n">
        <f aca="false">(J16+K16)/2</f>
        <v>0</v>
      </c>
      <c r="L17" s="46" t="n">
        <f aca="false">(K16+L16)/2</f>
        <v>0</v>
      </c>
    </row>
    <row r="19" customFormat="false" ht="15" hidden="false" customHeight="false" outlineLevel="0" collapsed="false">
      <c r="A19" s="17" t="s">
        <v>366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367</v>
      </c>
      <c r="C20" s="14" t="n">
        <f aca="false">C14*Assumptions!$F$26*Assumptions!$F$27*(1+Assumptions!$F$29)^C6</f>
        <v>1154250</v>
      </c>
      <c r="D20" s="14" t="n">
        <f aca="false">D14*Assumptions!$F$26*Assumptions!$F$27*(1+Assumptions!$F$29)^D6</f>
        <v>3566632.5</v>
      </c>
      <c r="E20" s="14" t="n">
        <f aca="false">E14*Assumptions!$F$26*Assumptions!$F$27*(1+Assumptions!$F$29)^E6</f>
        <v>2040906.375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368</v>
      </c>
      <c r="C21" s="14" t="n">
        <f aca="false">C14*(1-Assumptions!$F$26)*Assumptions!$F$28*(1+Assumptions!$F$29)^C6</f>
        <v>72000.0000000001</v>
      </c>
      <c r="D21" s="14" t="n">
        <f aca="false">D14*(1-Assumptions!$F$26)*Assumptions!$F$28*(1+Assumptions!$F$29)^D6</f>
        <v>222480</v>
      </c>
      <c r="E21" s="14" t="n">
        <f aca="false">E14*(1-Assumptions!$F$26)*Assumptions!$F$28*(1+Assumptions!$F$29)^E6</f>
        <v>127308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369</v>
      </c>
      <c r="C22" s="14" t="n">
        <f aca="false">C17*Assumptions!$F$61*C8</f>
        <v>0</v>
      </c>
      <c r="D22" s="14" t="n">
        <f aca="false">D17*Assumptions!$F$61*D8</f>
        <v>0</v>
      </c>
      <c r="E22" s="14" t="n">
        <f aca="false">E17*Assumptions!$F$61*E8</f>
        <v>0</v>
      </c>
      <c r="F22" s="14" t="n">
        <f aca="false">F17*Assumptions!$F$61*F8</f>
        <v>0</v>
      </c>
      <c r="G22" s="14" t="n">
        <f aca="false">G17*Assumptions!$F$61*G8</f>
        <v>0</v>
      </c>
      <c r="H22" s="14" t="n">
        <f aca="false">H17*Assumptions!$F$61*H8</f>
        <v>0</v>
      </c>
      <c r="I22" s="14" t="n">
        <f aca="false">I17*Assumptions!$F$61*I8</f>
        <v>0</v>
      </c>
      <c r="J22" s="14" t="n">
        <f aca="false">J17*Assumptions!$F$61*J8</f>
        <v>0</v>
      </c>
      <c r="K22" s="14" t="n">
        <f aca="false">K17*Assumptions!$F$61*K8</f>
        <v>0</v>
      </c>
      <c r="L22" s="14" t="n">
        <f aca="false">L17*Assumptions!$F$61*L8</f>
        <v>0</v>
      </c>
    </row>
    <row r="23" customFormat="false" ht="15" hidden="false" customHeight="false" outlineLevel="0" collapsed="false">
      <c r="A23" s="11" t="s">
        <v>370</v>
      </c>
      <c r="C23" s="15" t="n">
        <f aca="false">SUM(C20:C22)</f>
        <v>1226250</v>
      </c>
      <c r="D23" s="15" t="n">
        <f aca="false">SUM(D20:D22)</f>
        <v>3789112.5</v>
      </c>
      <c r="E23" s="15" t="n">
        <f aca="false">SUM(E20:E22)</f>
        <v>2168214.375</v>
      </c>
      <c r="F23" s="15" t="n">
        <f aca="false">SUM(F20:F22)</f>
        <v>0</v>
      </c>
      <c r="G23" s="15" t="n">
        <f aca="false">SUM(G20:G22)</f>
        <v>0</v>
      </c>
      <c r="H23" s="15" t="n">
        <f aca="false">SUM(H20:H22)</f>
        <v>0</v>
      </c>
      <c r="I23" s="15" t="n">
        <f aca="false">SUM(I20:I22)</f>
        <v>0</v>
      </c>
      <c r="J23" s="15" t="n">
        <f aca="false">SUM(J20:J22)</f>
        <v>0</v>
      </c>
      <c r="K23" s="15" t="n">
        <f aca="false">SUM(K20:K22)</f>
        <v>0</v>
      </c>
      <c r="L23" s="15" t="n">
        <f aca="false">SUM(L20:L22)</f>
        <v>0</v>
      </c>
    </row>
    <row r="25" customFormat="false" ht="15" hidden="false" customHeight="false" outlineLevel="0" collapsed="false">
      <c r="A25" s="17" t="s">
        <v>371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372</v>
      </c>
      <c r="C26" s="14" t="n">
        <f aca="false">C15*(Assumptions!$F$32*Assumptions!$F$33+(Assumptions!$F$34+Assumptions!$F$35+Assumptions!$F$36)*(1+Assumptions!$F$37)+Assumptions!$F$38)*C8</f>
        <v>992574</v>
      </c>
      <c r="D26" s="14" t="n">
        <f aca="false">D15*(Assumptions!$F$32*Assumptions!$F$33+(Assumptions!$F$34+Assumptions!$F$35+Assumptions!$F$36)*(1+Assumptions!$F$37)+Assumptions!$F$38)*D8</f>
        <v>3067053.66</v>
      </c>
      <c r="E26" s="14" t="n">
        <f aca="false">E15*(Assumptions!$F$32*Assumptions!$F$33+(Assumptions!$F$34+Assumptions!$F$35+Assumptions!$F$36)*(1+Assumptions!$F$37)+Assumptions!$F$38)*E8</f>
        <v>1755036.261</v>
      </c>
      <c r="F26" s="14" t="n">
        <f aca="false">F15*(Assumptions!$F$32*Assumptions!$F$33+(Assumptions!$F$34+Assumptions!$F$35+Assumptions!$F$36)*(1+Assumptions!$F$37)+Assumptions!$F$38)*F8</f>
        <v>0</v>
      </c>
      <c r="G26" s="14" t="n">
        <f aca="false">G15*(Assumptions!$F$32*Assumptions!$F$33+(Assumptions!$F$34+Assumptions!$F$35+Assumptions!$F$36)*(1+Assumptions!$F$37)+Assumptions!$F$38)*G8</f>
        <v>0</v>
      </c>
      <c r="H26" s="14" t="n">
        <f aca="false">H15*(Assumptions!$F$32*Assumptions!$F$33+(Assumptions!$F$34+Assumptions!$F$35+Assumptions!$F$36)*(1+Assumptions!$F$37)+Assumptions!$F$38)*H8</f>
        <v>0</v>
      </c>
      <c r="I26" s="14" t="n">
        <f aca="false">I15*(Assumptions!$F$32*Assumptions!$F$33+(Assumptions!$F$34+Assumptions!$F$35+Assumptions!$F$36)*(1+Assumptions!$F$37)+Assumptions!$F$38)*I8</f>
        <v>0</v>
      </c>
      <c r="J26" s="14" t="n">
        <f aca="false">J15*(Assumptions!$F$32*Assumptions!$F$33+(Assumptions!$F$34+Assumptions!$F$35+Assumptions!$F$36)*(1+Assumptions!$F$37)+Assumptions!$F$38)*J8</f>
        <v>0</v>
      </c>
      <c r="K26" s="14" t="n">
        <f aca="false">K15*(Assumptions!$F$32*Assumptions!$F$33+(Assumptions!$F$34+Assumptions!$F$35+Assumptions!$F$36)*(1+Assumptions!$F$37)+Assumptions!$F$38)*K8</f>
        <v>0</v>
      </c>
      <c r="L26" s="14" t="n">
        <f aca="false">L15*(Assumptions!$F$32*Assumptions!$F$33+(Assumptions!$F$34+Assumptions!$F$35+Assumptions!$F$36)*(1+Assumptions!$F$37)+Assumptions!$F$38)*L8</f>
        <v>0</v>
      </c>
    </row>
    <row r="27" customFormat="false" ht="15" hidden="false" customHeight="false" outlineLevel="0" collapsed="false">
      <c r="A27" s="6" t="s">
        <v>373</v>
      </c>
      <c r="C27" s="14" t="n">
        <f aca="false">C12*((Assumptions!$F$40*Assumptions!$F$42+Assumptions!$F$41*Assumptions!$F$43)*(1+Assumptions!$F$44)+Assumptions!$F$45)*C8</f>
        <v>342500</v>
      </c>
      <c r="D27" s="14" t="n">
        <f aca="false">D12*((Assumptions!$F$40*Assumptions!$F$42+Assumptions!$F$41*Assumptions!$F$43)*(1+Assumptions!$F$44)+Assumptions!$F$45)*D8</f>
        <v>705550</v>
      </c>
      <c r="E27" s="14" t="n">
        <f aca="false">E12*((Assumptions!$F$40*Assumptions!$F$42+Assumptions!$F$41*Assumptions!$F$43)*(1+Assumptions!$F$44)+Assumptions!$F$45)*E8</f>
        <v>363358.25</v>
      </c>
      <c r="F27" s="14" t="n">
        <f aca="false">F12*((Assumptions!$F$40*Assumptions!$F$42+Assumptions!$F$41*Assumptions!$F$43)*(1+Assumptions!$F$44)+Assumptions!$F$45)*F8</f>
        <v>0</v>
      </c>
      <c r="G27" s="14" t="n">
        <f aca="false">G12*((Assumptions!$F$40*Assumptions!$F$42+Assumptions!$F$41*Assumptions!$F$43)*(1+Assumptions!$F$44)+Assumptions!$F$45)*G8</f>
        <v>0</v>
      </c>
      <c r="H27" s="14" t="n">
        <f aca="false">H12*((Assumptions!$F$40*Assumptions!$F$42+Assumptions!$F$41*Assumptions!$F$43)*(1+Assumptions!$F$44)+Assumptions!$F$45)*H8</f>
        <v>0</v>
      </c>
      <c r="I27" s="14" t="n">
        <f aca="false">I12*((Assumptions!$F$40*Assumptions!$F$42+Assumptions!$F$41*Assumptions!$F$43)*(1+Assumptions!$F$44)+Assumptions!$F$45)*I8</f>
        <v>0</v>
      </c>
      <c r="J27" s="14" t="n">
        <f aca="false">J12*((Assumptions!$F$40*Assumptions!$F$42+Assumptions!$F$41*Assumptions!$F$43)*(1+Assumptions!$F$44)+Assumptions!$F$45)*J8</f>
        <v>0</v>
      </c>
      <c r="K27" s="14" t="n">
        <f aca="false">K12*((Assumptions!$F$40*Assumptions!$F$42+Assumptions!$F$41*Assumptions!$F$43)*(1+Assumptions!$F$44)+Assumptions!$F$45)*K8</f>
        <v>0</v>
      </c>
      <c r="L27" s="14" t="n">
        <f aca="false">L12*((Assumptions!$F$40*Assumptions!$F$42+Assumptions!$F$41*Assumptions!$F$43)*(1+Assumptions!$F$44)+Assumptions!$F$45)*L8</f>
        <v>0</v>
      </c>
    </row>
    <row r="28" customFormat="false" ht="15" hidden="false" customHeight="false" outlineLevel="0" collapsed="false">
      <c r="A28" s="6" t="s">
        <v>304</v>
      </c>
      <c r="C28" s="14" t="n">
        <f aca="false">C12*(Assumptions!$F$40+Assumptions!$F$41)*Assumptions!$F$46*C8</f>
        <v>67500</v>
      </c>
      <c r="D28" s="14" t="n">
        <f aca="false">D12*(Assumptions!$F$40+Assumptions!$F$41)*Assumptions!$F$46*D8</f>
        <v>139050</v>
      </c>
      <c r="E28" s="14" t="n">
        <f aca="false">E12*(Assumptions!$F$40+Assumptions!$F$41)*Assumptions!$F$46*E8</f>
        <v>71610.75</v>
      </c>
      <c r="F28" s="14" t="n">
        <f aca="false">F12*(Assumptions!$F$40+Assumptions!$F$41)*Assumptions!$F$46*F8</f>
        <v>0</v>
      </c>
      <c r="G28" s="14" t="n">
        <f aca="false">G12*(Assumptions!$F$40+Assumptions!$F$41)*Assumptions!$F$46*G8</f>
        <v>0</v>
      </c>
      <c r="H28" s="14" t="n">
        <f aca="false">H12*(Assumptions!$F$40+Assumptions!$F$41)*Assumptions!$F$46*H8</f>
        <v>0</v>
      </c>
      <c r="I28" s="14" t="n">
        <f aca="false">I12*(Assumptions!$F$40+Assumptions!$F$41)*Assumptions!$F$46*I8</f>
        <v>0</v>
      </c>
      <c r="J28" s="14" t="n">
        <f aca="false">J12*(Assumptions!$F$40+Assumptions!$F$41)*Assumptions!$F$46*J8</f>
        <v>0</v>
      </c>
      <c r="K28" s="14" t="n">
        <f aca="false">K12*(Assumptions!$F$40+Assumptions!$F$41)*Assumptions!$F$46*K8</f>
        <v>0</v>
      </c>
      <c r="L28" s="14" t="n">
        <f aca="false">L12*(Assumptions!$F$40+Assumptions!$F$41)*Assumptions!$F$46*L8</f>
        <v>0</v>
      </c>
    </row>
    <row r="29" customFormat="false" ht="15" hidden="false" customHeight="false" outlineLevel="0" collapsed="false">
      <c r="A29" s="6" t="s">
        <v>374</v>
      </c>
      <c r="C29" s="14" t="n">
        <f aca="false">C12*(Assumptions!$F$47+Assumptions!$F$48+Assumptions!$F$51+Assumptions!$F$52)*C8</f>
        <v>190500</v>
      </c>
      <c r="D29" s="14" t="n">
        <f aca="false">D12*(Assumptions!$F$47+Assumptions!$F$48+Assumptions!$F$51+Assumptions!$F$52)*D8</f>
        <v>392430</v>
      </c>
      <c r="E29" s="14" t="n">
        <f aca="false">E12*(Assumptions!$F$47+Assumptions!$F$48+Assumptions!$F$51+Assumptions!$F$52)*E8</f>
        <v>202101.45</v>
      </c>
      <c r="F29" s="14" t="n">
        <f aca="false">F12*(Assumptions!$F$47+Assumptions!$F$48+Assumptions!$F$51+Assumptions!$F$52)*F8</f>
        <v>0</v>
      </c>
      <c r="G29" s="14" t="n">
        <f aca="false">G12*(Assumptions!$F$47+Assumptions!$F$48+Assumptions!$F$51+Assumptions!$F$52)*G8</f>
        <v>0</v>
      </c>
      <c r="H29" s="14" t="n">
        <f aca="false">H12*(Assumptions!$F$47+Assumptions!$F$48+Assumptions!$F$51+Assumptions!$F$52)*H8</f>
        <v>0</v>
      </c>
      <c r="I29" s="14" t="n">
        <f aca="false">I12*(Assumptions!$F$47+Assumptions!$F$48+Assumptions!$F$51+Assumptions!$F$52)*I8</f>
        <v>0</v>
      </c>
      <c r="J29" s="14" t="n">
        <f aca="false">J12*(Assumptions!$F$47+Assumptions!$F$48+Assumptions!$F$51+Assumptions!$F$52)*J8</f>
        <v>0</v>
      </c>
      <c r="K29" s="14" t="n">
        <f aca="false">K12*(Assumptions!$F$47+Assumptions!$F$48+Assumptions!$F$51+Assumptions!$F$52)*K8</f>
        <v>0</v>
      </c>
      <c r="L29" s="14" t="n">
        <f aca="false">L12*(Assumptions!$F$47+Assumptions!$F$48+Assumptions!$F$51+Assumptions!$F$52)*L8</f>
        <v>0</v>
      </c>
    </row>
    <row r="30" customFormat="false" ht="15" hidden="false" customHeight="false" outlineLevel="0" collapsed="false">
      <c r="A30" s="6" t="s">
        <v>375</v>
      </c>
      <c r="C30" s="14" t="n">
        <f aca="false">C7*C12*Assumptions!$F$49*12*C8</f>
        <v>60000</v>
      </c>
      <c r="D30" s="14" t="n">
        <f aca="false">D7*D12*Assumptions!$F$49*12*D8</f>
        <v>123600</v>
      </c>
      <c r="E30" s="14" t="n">
        <f aca="false">E7*E12*Assumptions!$F$49*12*E8</f>
        <v>63654</v>
      </c>
      <c r="F30" s="14" t="n">
        <f aca="false">F7*F12*Assumptions!$F$49*12*F8</f>
        <v>0</v>
      </c>
      <c r="G30" s="14" t="n">
        <f aca="false">G7*G12*Assumptions!$F$49*12*G8</f>
        <v>0</v>
      </c>
      <c r="H30" s="14" t="n">
        <f aca="false">H7*H12*Assumptions!$F$49*12*H8</f>
        <v>0</v>
      </c>
      <c r="I30" s="14" t="n">
        <f aca="false">I7*I12*Assumptions!$F$49*12*I8</f>
        <v>0</v>
      </c>
      <c r="J30" s="14" t="n">
        <f aca="false">J7*J12*Assumptions!$F$49*12*J8</f>
        <v>0</v>
      </c>
      <c r="K30" s="14" t="n">
        <f aca="false">K7*K12*Assumptions!$F$49*12*K8</f>
        <v>0</v>
      </c>
      <c r="L30" s="14" t="n">
        <f aca="false">L7*L12*Assumptions!$F$49*12*L8</f>
        <v>0</v>
      </c>
    </row>
    <row r="31" customFormat="false" ht="15" hidden="false" customHeight="false" outlineLevel="0" collapsed="false">
      <c r="A31" s="6" t="s">
        <v>376</v>
      </c>
      <c r="C31" s="14" t="n">
        <f aca="false">C7*(C20+C21)*Assumptions!$F$50</f>
        <v>122625</v>
      </c>
      <c r="D31" s="14" t="n">
        <f aca="false">D7*(D20+D21)*Assumptions!$F$50</f>
        <v>378911.25</v>
      </c>
      <c r="E31" s="14" t="n">
        <f aca="false">E7*(E20+E21)*Assumptions!$F$50</f>
        <v>216821.4375</v>
      </c>
      <c r="F31" s="14" t="n">
        <f aca="false">F7*(F20+F21)*Assumptions!$F$50</f>
        <v>0</v>
      </c>
      <c r="G31" s="14" t="n">
        <f aca="false">G7*(G20+G21)*Assumptions!$F$50</f>
        <v>0</v>
      </c>
      <c r="H31" s="14" t="n">
        <f aca="false">H7*(H20+H21)*Assumptions!$F$50</f>
        <v>0</v>
      </c>
      <c r="I31" s="14" t="n">
        <f aca="false">I7*(I20+I21)*Assumptions!$F$50</f>
        <v>0</v>
      </c>
      <c r="J31" s="14" t="n">
        <f aca="false">J7*(J20+J21)*Assumptions!$F$50</f>
        <v>0</v>
      </c>
      <c r="K31" s="14" t="n">
        <f aca="false">K7*(K20+K21)*Assumptions!$F$50</f>
        <v>0</v>
      </c>
      <c r="L31" s="14" t="n">
        <f aca="false">L7*(L20+L21)*Assumptions!$F$50</f>
        <v>0</v>
      </c>
    </row>
    <row r="32" customFormat="false" ht="15" hidden="false" customHeight="false" outlineLevel="0" collapsed="false">
      <c r="A32" s="6" t="s">
        <v>377</v>
      </c>
      <c r="C32" s="14" t="n">
        <f aca="false">C7*IF(C12&gt;0,1,0)*Assumptions!$F$53*C8</f>
        <v>100000</v>
      </c>
      <c r="D32" s="14" t="n">
        <f aca="false">D7*IF(D12&gt;0,1,0)*Assumptions!$F$53*D8</f>
        <v>103000</v>
      </c>
      <c r="E32" s="14" t="n">
        <f aca="false">E7*IF(E12&gt;0,1,0)*Assumptions!$F$53*E8</f>
        <v>106090</v>
      </c>
      <c r="F32" s="14" t="n">
        <f aca="false">F7*IF(F12&gt;0,1,0)*Assumptions!$F$53*F8</f>
        <v>0</v>
      </c>
      <c r="G32" s="14" t="n">
        <f aca="false">G7*IF(G12&gt;0,1,0)*Assumptions!$F$53*G8</f>
        <v>0</v>
      </c>
      <c r="H32" s="14" t="n">
        <f aca="false">H7*IF(H12&gt;0,1,0)*Assumptions!$F$53*H8</f>
        <v>0</v>
      </c>
      <c r="I32" s="14" t="n">
        <f aca="false">I7*IF(I12&gt;0,1,0)*Assumptions!$F$53*I8</f>
        <v>0</v>
      </c>
      <c r="J32" s="14" t="n">
        <f aca="false">J7*IF(J12&gt;0,1,0)*Assumptions!$F$53*J8</f>
        <v>0</v>
      </c>
      <c r="K32" s="14" t="n">
        <f aca="false">K7*IF(K12&gt;0,1,0)*Assumptions!$F$53*K8</f>
        <v>0</v>
      </c>
      <c r="L32" s="14" t="n">
        <f aca="false">L7*IF(L12&gt;0,1,0)*Assumptions!$F$53*L8</f>
        <v>0</v>
      </c>
    </row>
    <row r="33" customFormat="false" ht="15" hidden="false" customHeight="false" outlineLevel="0" collapsed="false">
      <c r="A33" s="6" t="s">
        <v>378</v>
      </c>
      <c r="C33" s="14" t="n">
        <f aca="false">(1-C7)*(Assumptions!$F$59+Assumptions!$F$60*(C12+C17))*C8</f>
        <v>0</v>
      </c>
      <c r="D33" s="14" t="n">
        <f aca="false">(1-D7)*(Assumptions!$F$59+Assumptions!$F$60*(D12+D17))*D8</f>
        <v>0</v>
      </c>
      <c r="E33" s="14" t="n">
        <f aca="false">(1-E7)*(Assumptions!$F$59+Assumptions!$F$60*(E12+E17))*E8</f>
        <v>0</v>
      </c>
      <c r="F33" s="14" t="n">
        <f aca="false">(1-F7)*(Assumptions!$F$59+Assumptions!$F$60*(F12+F17))*F8</f>
        <v>0</v>
      </c>
      <c r="G33" s="14" t="n">
        <f aca="false">(1-G7)*(Assumptions!$F$59+Assumptions!$F$60*(G12+G17))*G8</f>
        <v>0</v>
      </c>
      <c r="H33" s="14" t="n">
        <f aca="false">(1-H7)*(Assumptions!$F$59+Assumptions!$F$60*(H12+H17))*H8</f>
        <v>0</v>
      </c>
      <c r="I33" s="14" t="n">
        <f aca="false">(1-I7)*(Assumptions!$F$59+Assumptions!$F$60*(I12+I17))*I8</f>
        <v>0</v>
      </c>
      <c r="J33" s="14" t="n">
        <f aca="false">(1-J7)*(Assumptions!$F$59+Assumptions!$F$60*(J12+J17))*J8</f>
        <v>0</v>
      </c>
      <c r="K33" s="14" t="n">
        <f aca="false">(1-K7)*(Assumptions!$F$59+Assumptions!$F$60*(K12+K17))*K8</f>
        <v>0</v>
      </c>
      <c r="L33" s="14" t="n">
        <f aca="false">(1-L7)*(Assumptions!$F$59+Assumptions!$F$60*(L12+L17))*L8</f>
        <v>0</v>
      </c>
    </row>
    <row r="34" customFormat="false" ht="15" hidden="false" customHeight="false" outlineLevel="0" collapsed="false">
      <c r="A34" s="11" t="s">
        <v>379</v>
      </c>
      <c r="C34" s="15" t="n">
        <f aca="false">SUM(C26:C33)</f>
        <v>1875699</v>
      </c>
      <c r="D34" s="15" t="n">
        <f aca="false">SUM(D26:D33)</f>
        <v>4909594.91</v>
      </c>
      <c r="E34" s="15" t="n">
        <f aca="false">SUM(E26:E33)</f>
        <v>2778672.1485</v>
      </c>
      <c r="F34" s="15" t="n">
        <f aca="false">SUM(F26:F33)</f>
        <v>0</v>
      </c>
      <c r="G34" s="15" t="n">
        <f aca="false">SUM(G26:G33)</f>
        <v>0</v>
      </c>
      <c r="H34" s="15" t="n">
        <f aca="false">SUM(H26:H33)</f>
        <v>0</v>
      </c>
      <c r="I34" s="15" t="n">
        <f aca="false">SUM(I26:I33)</f>
        <v>0</v>
      </c>
      <c r="J34" s="15" t="n">
        <f aca="false">SUM(J26:J33)</f>
        <v>0</v>
      </c>
      <c r="K34" s="15" t="n">
        <f aca="false">SUM(K26:K33)</f>
        <v>0</v>
      </c>
      <c r="L34" s="15" t="n">
        <f aca="false">SUM(L26:L33)</f>
        <v>0</v>
      </c>
    </row>
    <row r="36" customFormat="false" ht="15" hidden="false" customHeight="false" outlineLevel="0" collapsed="false">
      <c r="A36" s="11" t="s">
        <v>90</v>
      </c>
      <c r="C36" s="24" t="n">
        <f aca="false">C23-C34</f>
        <v>-649449</v>
      </c>
      <c r="D36" s="24" t="n">
        <f aca="false">D23-D34</f>
        <v>-1120482.41</v>
      </c>
      <c r="E36" s="24" t="n">
        <f aca="false">E23-E34</f>
        <v>-610457.7735</v>
      </c>
      <c r="F36" s="24" t="n">
        <f aca="false">F23-F34</f>
        <v>0</v>
      </c>
      <c r="G36" s="24" t="n">
        <f aca="false">G23-G34</f>
        <v>0</v>
      </c>
      <c r="H36" s="24" t="n">
        <f aca="false">H23-H34</f>
        <v>0</v>
      </c>
      <c r="I36" s="24" t="n">
        <f aca="false">I23-I34</f>
        <v>0</v>
      </c>
      <c r="J36" s="24" t="n">
        <f aca="false">J23-J34</f>
        <v>0</v>
      </c>
      <c r="K36" s="24" t="n">
        <f aca="false">K23-K34</f>
        <v>0</v>
      </c>
      <c r="L36" s="24" t="n">
        <f aca="false">L23-L34</f>
        <v>0</v>
      </c>
    </row>
    <row r="37" customFormat="false" ht="15" hidden="false" customHeight="false" outlineLevel="0" collapsed="false">
      <c r="A37" s="6" t="s">
        <v>312</v>
      </c>
      <c r="C37" s="16" t="n">
        <f aca="false">IF(C23=0,0,C36/C23)</f>
        <v>-0.529622018348624</v>
      </c>
      <c r="D37" s="16" t="n">
        <f aca="false">IF(D23=0,0,D36/D23)</f>
        <v>-0.295711043153245</v>
      </c>
      <c r="E37" s="16" t="n">
        <f aca="false">IF(E23=0,0,E36/E23)</f>
        <v>-0.281548623853211</v>
      </c>
      <c r="F37" s="16" t="n">
        <f aca="false">IF(F23=0,0,F36/F23)</f>
        <v>0</v>
      </c>
      <c r="G37" s="16" t="n">
        <f aca="false">IF(G23=0,0,G36/G23)</f>
        <v>0</v>
      </c>
      <c r="H37" s="16" t="n">
        <f aca="false">IF(H23=0,0,H36/H23)</f>
        <v>0</v>
      </c>
      <c r="I37" s="16" t="n">
        <f aca="false">IF(I23=0,0,I36/I23)</f>
        <v>0</v>
      </c>
      <c r="J37" s="16" t="n">
        <f aca="false">IF(J23=0,0,J36/J23)</f>
        <v>0</v>
      </c>
      <c r="K37" s="16" t="n">
        <f aca="false">IF(K23=0,0,K36/K23)</f>
        <v>0</v>
      </c>
      <c r="L37" s="16" t="n">
        <f aca="false">IF(L23=0,0,L36/L23)</f>
        <v>0</v>
      </c>
    </row>
    <row r="38" customFormat="false" ht="15" hidden="false" customHeight="false" outlineLevel="0" collapsed="false">
      <c r="A38" s="6" t="s">
        <v>380</v>
      </c>
      <c r="C38" s="14" t="n">
        <f aca="false">IF(AND(C5='Fleet Plan'!$B$6+Assumptions!$F$57-1,OR('Unit Economics'!$F$41=1,SUM('Fleet Plan'!$C$7:$L$7)&gt;0)),Assumptions!$F$58,0)</f>
        <v>0</v>
      </c>
      <c r="D38" s="14" t="n">
        <f aca="false">IF(AND(D5='Fleet Plan'!$B$6+Assumptions!$F$57-1,OR('Unit Economics'!$F$41=1,SUM('Fleet Plan'!$C$7:$L$7)&gt;0)),Assumptions!$F$58,0)</f>
        <v>0</v>
      </c>
      <c r="E38" s="14" t="n">
        <f aca="false">IF(AND(E5='Fleet Plan'!$B$6+Assumptions!$F$57-1,OR('Unit Economics'!$F$41=1,SUM('Fleet Plan'!$C$7:$L$7)&gt;0)),Assumptions!$F$58,0)</f>
        <v>0</v>
      </c>
      <c r="F38" s="14" t="n">
        <f aca="false">IF(AND(F5='Fleet Plan'!$B$6+Assumptions!$F$57-1,OR('Unit Economics'!$F$41=1,SUM('Fleet Plan'!$C$7:$L$7)&gt;0)),Assumptions!$F$58,0)</f>
        <v>0</v>
      </c>
      <c r="G38" s="14" t="n">
        <f aca="false">IF(AND(G5='Fleet Plan'!$B$6+Assumptions!$F$57-1,OR('Unit Economics'!$F$41=1,SUM('Fleet Plan'!$C$7:$L$7)&gt;0)),Assumptions!$F$58,0)</f>
        <v>0</v>
      </c>
      <c r="H38" s="14" t="n">
        <f aca="false">IF(AND(H5='Fleet Plan'!$B$6+Assumptions!$F$57-1,OR('Unit Economics'!$F$41=1,SUM('Fleet Plan'!$C$7:$L$7)&gt;0)),Assumptions!$F$58,0)</f>
        <v>0</v>
      </c>
      <c r="I38" s="14" t="n">
        <f aca="false">IF(AND(I5='Fleet Plan'!$B$6+Assumptions!$F$57-1,OR('Unit Economics'!$F$41=1,SUM('Fleet Plan'!$C$7:$L$7)&gt;0)),Assumptions!$F$58,0)</f>
        <v>0</v>
      </c>
      <c r="J38" s="14" t="n">
        <f aca="false">IF(AND(J5='Fleet Plan'!$B$6+Assumptions!$F$57-1,OR('Unit Economics'!$F$41=1,SUM('Fleet Plan'!$C$7:$L$7)&gt;0)),Assumptions!$F$58,0)</f>
        <v>0</v>
      </c>
      <c r="K38" s="14" t="n">
        <f aca="false">IF(AND(K5='Fleet Plan'!$B$6+Assumptions!$F$57-1,OR('Unit Economics'!$F$41=1,SUM('Fleet Plan'!$C$7:$L$7)&gt;0)),Assumptions!$F$58,0)</f>
        <v>0</v>
      </c>
      <c r="L38" s="14" t="n">
        <f aca="false">IF(AND(L5='Fleet Plan'!$B$6+Assumptions!$F$57-1,OR('Unit Economics'!$F$41=1,SUM('Fleet Plan'!$C$7:$L$7)&gt;0)),Assumptions!$F$58,0)</f>
        <v>0</v>
      </c>
    </row>
    <row r="39" customFormat="false" ht="15" hidden="false" customHeight="false" outlineLevel="0" collapsed="false">
      <c r="A39" s="6" t="s">
        <v>334</v>
      </c>
      <c r="C39" s="14" t="n">
        <f aca="false">'Debt Own'!C106</f>
        <v>667000</v>
      </c>
      <c r="D39" s="14" t="n">
        <f aca="false">'Debt Own'!D106</f>
        <v>640963.887871814</v>
      </c>
      <c r="E39" s="14" t="n">
        <f aca="false">'Debt Own'!E106</f>
        <v>613040.157614334</v>
      </c>
      <c r="F39" s="14" t="n">
        <f aca="false">'Debt Own'!F106</f>
        <v>0</v>
      </c>
      <c r="G39" s="14" t="n">
        <f aca="false">'Debt Own'!G106</f>
        <v>0</v>
      </c>
      <c r="H39" s="14" t="n">
        <f aca="false">'Debt Own'!H106</f>
        <v>0</v>
      </c>
      <c r="I39" s="14" t="n">
        <f aca="false">'Debt Own'!I106</f>
        <v>0</v>
      </c>
      <c r="J39" s="14" t="n">
        <f aca="false">'Debt Own'!J106</f>
        <v>0</v>
      </c>
      <c r="K39" s="14" t="n">
        <f aca="false">'Debt Own'!K106</f>
        <v>0</v>
      </c>
      <c r="L39" s="14" t="n">
        <f aca="false">'Debt Own'!L106</f>
        <v>0</v>
      </c>
    </row>
    <row r="40" customFormat="false" ht="15" hidden="false" customHeight="false" outlineLevel="0" collapsed="false">
      <c r="A40" s="6" t="s">
        <v>381</v>
      </c>
      <c r="C40" s="14" t="n">
        <f aca="false">'Debt Own'!C107</f>
        <v>359118.787974984</v>
      </c>
      <c r="D40" s="14" t="n">
        <f aca="false">'Debt Own'!D107</f>
        <v>385154.90010317</v>
      </c>
      <c r="E40" s="14" t="n">
        <f aca="false">'Debt Own'!E107</f>
        <v>413078.63036065</v>
      </c>
      <c r="F40" s="14" t="n">
        <f aca="false">'Debt Own'!F107</f>
        <v>0</v>
      </c>
      <c r="G40" s="14" t="n">
        <f aca="false">'Debt Own'!G107</f>
        <v>0</v>
      </c>
      <c r="H40" s="14" t="n">
        <f aca="false">'Debt Own'!H107</f>
        <v>0</v>
      </c>
      <c r="I40" s="14" t="n">
        <f aca="false">'Debt Own'!I107</f>
        <v>0</v>
      </c>
      <c r="J40" s="14" t="n">
        <f aca="false">'Debt Own'!J107</f>
        <v>0</v>
      </c>
      <c r="K40" s="14" t="n">
        <f aca="false">'Debt Own'!K107</f>
        <v>0</v>
      </c>
      <c r="L40" s="14" t="n">
        <f aca="false">'Debt Own'!L107</f>
        <v>0</v>
      </c>
    </row>
    <row r="41" customFormat="false" ht="15" hidden="false" customHeight="false" outlineLevel="0" collapsed="false">
      <c r="A41" s="6" t="s">
        <v>382</v>
      </c>
      <c r="C41" s="14" t="n">
        <f aca="false">'Debt Own'!C111</f>
        <v>0</v>
      </c>
      <c r="D41" s="14" t="n">
        <f aca="false">'Debt Own'!D111</f>
        <v>0</v>
      </c>
      <c r="E41" s="14" t="n">
        <f aca="false">'Debt Own'!E111</f>
        <v>9654805.96421746</v>
      </c>
      <c r="F41" s="14" t="n">
        <f aca="false">'Debt Own'!F111</f>
        <v>0</v>
      </c>
      <c r="G41" s="14" t="n">
        <f aca="false">'Debt Own'!G111</f>
        <v>0</v>
      </c>
      <c r="H41" s="14" t="n">
        <f aca="false">'Debt Own'!H111</f>
        <v>0</v>
      </c>
      <c r="I41" s="14" t="n">
        <f aca="false">'Debt Own'!I111</f>
        <v>0</v>
      </c>
      <c r="J41" s="14" t="n">
        <f aca="false">'Debt Own'!J111</f>
        <v>0</v>
      </c>
      <c r="K41" s="14" t="n">
        <f aca="false">'Debt Own'!K111</f>
        <v>0</v>
      </c>
      <c r="L41" s="14" t="n">
        <f aca="false">'Debt Own'!L111</f>
        <v>0</v>
      </c>
    </row>
    <row r="42" customFormat="false" ht="15" hidden="false" customHeight="false" outlineLevel="0" collapsed="false">
      <c r="A42" s="6" t="s">
        <v>337</v>
      </c>
      <c r="C42" s="14" t="n">
        <f aca="false">'Debt Own'!C110</f>
        <v>0</v>
      </c>
      <c r="D42" s="14" t="n">
        <f aca="false">'Debt Own'!D110</f>
        <v>0</v>
      </c>
      <c r="E42" s="14" t="n">
        <f aca="false">'Debt Own'!E110</f>
        <v>8042647.6815612</v>
      </c>
      <c r="F42" s="14" t="n">
        <f aca="false">'Debt Own'!F110</f>
        <v>0</v>
      </c>
      <c r="G42" s="14" t="n">
        <f aca="false">'Debt Own'!G110</f>
        <v>0</v>
      </c>
      <c r="H42" s="14" t="n">
        <f aca="false">'Debt Own'!H110</f>
        <v>0</v>
      </c>
      <c r="I42" s="14" t="n">
        <f aca="false">'Debt Own'!I110</f>
        <v>0</v>
      </c>
      <c r="J42" s="14" t="n">
        <f aca="false">'Debt Own'!J110</f>
        <v>0</v>
      </c>
      <c r="K42" s="14" t="n">
        <f aca="false">'Debt Own'!K110</f>
        <v>0</v>
      </c>
      <c r="L42" s="14" t="n">
        <f aca="false">'Debt Own'!L110</f>
        <v>0</v>
      </c>
    </row>
    <row r="43" customFormat="false" ht="15" hidden="false" customHeight="false" outlineLevel="0" collapsed="false">
      <c r="A43" s="11" t="s">
        <v>383</v>
      </c>
      <c r="C43" s="15" t="n">
        <f aca="false">C36-C38-C39-C40+C41-C42</f>
        <v>-1675567.78797498</v>
      </c>
      <c r="D43" s="15" t="n">
        <f aca="false">D36-D38-D39-D40+D41-D42</f>
        <v>-2146601.19797498</v>
      </c>
      <c r="E43" s="15" t="n">
        <f aca="false">E36-E38-E39-E40+E41-E42</f>
        <v>-24418.2788187237</v>
      </c>
      <c r="F43" s="15" t="n">
        <f aca="false">F36-F38-F39-F40+F41-F42</f>
        <v>0</v>
      </c>
      <c r="G43" s="15" t="n">
        <f aca="false">G36-G38-G39-G40+G41-G42</f>
        <v>0</v>
      </c>
      <c r="H43" s="15" t="n">
        <f aca="false">H36-H38-H39-H40+H41-H42</f>
        <v>0</v>
      </c>
      <c r="I43" s="15" t="n">
        <f aca="false">I36-I38-I39-I40+I41-I42</f>
        <v>0</v>
      </c>
      <c r="J43" s="15" t="n">
        <f aca="false">J36-J38-J39-J40+J41-J42</f>
        <v>0</v>
      </c>
      <c r="K43" s="15" t="n">
        <f aca="false">K36-K38-K39-K40+K41-K42</f>
        <v>0</v>
      </c>
      <c r="L43" s="15" t="n">
        <f aca="false">L36-L38-L39-L40+L41-L42</f>
        <v>0</v>
      </c>
    </row>
    <row r="45" customFormat="false" ht="15" hidden="false" customHeight="false" outlineLevel="0" collapsed="false">
      <c r="A45" s="17" t="s">
        <v>384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385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386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387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388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389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69</v>
      </c>
      <c r="C51" s="14" t="n">
        <f aca="false">C48*Assumptions!$F$69</f>
        <v>115000</v>
      </c>
      <c r="D51" s="14" t="n">
        <f aca="false">D48*Assumptions!$F$69</f>
        <v>0</v>
      </c>
      <c r="E51" s="14" t="n">
        <f aca="false">E48*Assumptions!$F$69</f>
        <v>-115000</v>
      </c>
      <c r="F51" s="14" t="n">
        <f aca="false">F48*Assumptions!$F$69</f>
        <v>0</v>
      </c>
      <c r="G51" s="14" t="n">
        <f aca="false">G48*Assumptions!$F$69</f>
        <v>0</v>
      </c>
      <c r="H51" s="14" t="n">
        <f aca="false">H48*Assumptions!$F$69</f>
        <v>0</v>
      </c>
      <c r="I51" s="14" t="n">
        <f aca="false">I48*Assumptions!$F$69</f>
        <v>0</v>
      </c>
      <c r="J51" s="14" t="n">
        <f aca="false">J48*Assumptions!$F$69</f>
        <v>0</v>
      </c>
      <c r="K51" s="14" t="n">
        <f aca="false">K48*Assumptions!$F$69</f>
        <v>0</v>
      </c>
      <c r="L51" s="14" t="n">
        <f aca="false">L48*Assumptions!$F$69</f>
        <v>0</v>
      </c>
    </row>
    <row r="52" customFormat="false" ht="15" hidden="false" customHeight="false" outlineLevel="0" collapsed="false">
      <c r="A52" s="6" t="s">
        <v>390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391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392</v>
      </c>
      <c r="C55" s="37" t="n">
        <f aca="false">0</f>
        <v>0</v>
      </c>
      <c r="D55" s="37" t="n">
        <f aca="false">C58</f>
        <v>710500</v>
      </c>
      <c r="E55" s="37" t="n">
        <f aca="false">D58</f>
        <v>731815</v>
      </c>
      <c r="F55" s="37" t="n">
        <f aca="false">E58</f>
        <v>4130251.72118128</v>
      </c>
      <c r="G55" s="37" t="n">
        <f aca="false">F58</f>
        <v>4130251.72118128</v>
      </c>
      <c r="H55" s="37" t="n">
        <f aca="false">G58</f>
        <v>4130251.72118128</v>
      </c>
      <c r="I55" s="37" t="n">
        <f aca="false">H58</f>
        <v>4130251.72118128</v>
      </c>
      <c r="J55" s="37" t="n">
        <f aca="false">I58</f>
        <v>4130251.72118128</v>
      </c>
      <c r="K55" s="37" t="n">
        <f aca="false">J58</f>
        <v>4130251.72118128</v>
      </c>
      <c r="L55" s="37" t="n">
        <f aca="false">K58</f>
        <v>4130251.72118128</v>
      </c>
    </row>
    <row r="56" customFormat="false" ht="15" hidden="false" customHeight="false" outlineLevel="0" collapsed="false">
      <c r="A56" s="6" t="s">
        <v>393</v>
      </c>
      <c r="C56" s="14" t="n">
        <f aca="false">C11*'Unit Economics'!$F$40*C8</f>
        <v>710500</v>
      </c>
      <c r="D56" s="14" t="n">
        <f aca="false">D11*'Unit Economics'!$F$40*D8</f>
        <v>731815</v>
      </c>
      <c r="E56" s="14" t="n">
        <f aca="false">E11*'Unit Economics'!$F$40*E8</f>
        <v>0</v>
      </c>
      <c r="F56" s="14" t="n">
        <f aca="false">F11*'Unit Economics'!$F$40*F8</f>
        <v>0</v>
      </c>
      <c r="G56" s="14" t="n">
        <f aca="false">G11*'Unit Economics'!$F$40*G8</f>
        <v>0</v>
      </c>
      <c r="H56" s="14" t="n">
        <f aca="false">H11*'Unit Economics'!$F$40*H8</f>
        <v>0</v>
      </c>
      <c r="I56" s="14" t="n">
        <f aca="false">I11*'Unit Economics'!$F$40*I8</f>
        <v>0</v>
      </c>
      <c r="J56" s="14" t="n">
        <f aca="false">J11*'Unit Economics'!$F$40*J8</f>
        <v>0</v>
      </c>
      <c r="K56" s="14" t="n">
        <f aca="false">K11*'Unit Economics'!$F$40*K8</f>
        <v>0</v>
      </c>
      <c r="L56" s="14" t="n">
        <f aca="false">L11*'Unit Economics'!$F$40*L8</f>
        <v>0</v>
      </c>
    </row>
    <row r="57" customFormat="false" ht="15" hidden="false" customHeight="false" outlineLevel="0" collapsed="false">
      <c r="A57" s="11" t="s">
        <v>394</v>
      </c>
      <c r="C57" s="24" t="n">
        <f aca="false">MAX(0,C56-(C55+C43-C53))</f>
        <v>5876067.78797498</v>
      </c>
      <c r="D57" s="24" t="n">
        <f aca="false">MAX(0,D56-(D55+D43-D53))</f>
        <v>2167916.19797498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395</v>
      </c>
      <c r="C58" s="15" t="n">
        <f aca="false">C55+C43-C53+C57</f>
        <v>710500</v>
      </c>
      <c r="D58" s="15" t="n">
        <f aca="false">D55+D43-D53+D57</f>
        <v>731815</v>
      </c>
      <c r="E58" s="15" t="n">
        <f aca="false">E55+E43-E53+E57</f>
        <v>4130251.72118128</v>
      </c>
      <c r="F58" s="15" t="n">
        <f aca="false">F55+F43-F53+F57</f>
        <v>4130251.72118128</v>
      </c>
      <c r="G58" s="15" t="n">
        <f aca="false">G55+G43-G53+G57</f>
        <v>4130251.72118128</v>
      </c>
      <c r="H58" s="15" t="n">
        <f aca="false">H55+H43-H53+H57</f>
        <v>4130251.72118128</v>
      </c>
      <c r="I58" s="15" t="n">
        <f aca="false">I55+I43-I53+I57</f>
        <v>4130251.72118128</v>
      </c>
      <c r="J58" s="15" t="n">
        <f aca="false">J55+J43-J53+J57</f>
        <v>4130251.72118128</v>
      </c>
      <c r="K58" s="15" t="n">
        <f aca="false">K55+K43-K53+K57</f>
        <v>4130251.72118128</v>
      </c>
      <c r="L58" s="15" t="n">
        <f aca="false">L55+L43-L53+L57</f>
        <v>4130251.72118128</v>
      </c>
    </row>
    <row r="59" customFormat="false" ht="15" hidden="false" customHeight="false" outlineLevel="0" collapsed="false">
      <c r="A59" s="11" t="s">
        <v>396</v>
      </c>
      <c r="C59" s="24" t="n">
        <f aca="false">C57</f>
        <v>5876067.78797498</v>
      </c>
      <c r="D59" s="24" t="n">
        <f aca="false">C59+D57</f>
        <v>8043983.98594997</v>
      </c>
      <c r="E59" s="24" t="n">
        <f aca="false">D59+E57</f>
        <v>8043983.98594997</v>
      </c>
      <c r="F59" s="24" t="n">
        <f aca="false">E59+F57</f>
        <v>8043983.98594997</v>
      </c>
      <c r="G59" s="24" t="n">
        <f aca="false">F59+G57</f>
        <v>8043983.98594997</v>
      </c>
      <c r="H59" s="24" t="n">
        <f aca="false">G59+H57</f>
        <v>8043983.98594997</v>
      </c>
      <c r="I59" s="24" t="n">
        <f aca="false">H59+I57</f>
        <v>8043983.98594997</v>
      </c>
      <c r="J59" s="24" t="n">
        <f aca="false">I59+J57</f>
        <v>8043983.98594997</v>
      </c>
      <c r="K59" s="24" t="n">
        <f aca="false">J59+K57</f>
        <v>8043983.98594997</v>
      </c>
      <c r="L59" s="24" t="n">
        <f aca="false">K59+L57</f>
        <v>8043983.98594997</v>
      </c>
    </row>
    <row r="61" customFormat="false" ht="15" hidden="false" customHeight="false" outlineLevel="0" collapsed="false">
      <c r="A61" s="17" t="s">
        <v>397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398</v>
      </c>
      <c r="C62" s="14" t="n">
        <f aca="false">'Debt Own'!C109</f>
        <v>10810000</v>
      </c>
      <c r="D62" s="14" t="n">
        <f aca="false">'Debt Own'!D109</f>
        <v>10161400</v>
      </c>
      <c r="E62" s="14" t="n">
        <f aca="false">'Debt Own'!E109</f>
        <v>0</v>
      </c>
      <c r="F62" s="14" t="n">
        <f aca="false">'Debt Own'!F109</f>
        <v>0</v>
      </c>
      <c r="G62" s="14" t="n">
        <f aca="false">'Debt Own'!G109</f>
        <v>0</v>
      </c>
      <c r="H62" s="14" t="n">
        <f aca="false">'Debt Own'!H109</f>
        <v>0</v>
      </c>
      <c r="I62" s="14" t="n">
        <f aca="false">'Debt Own'!I109</f>
        <v>0</v>
      </c>
      <c r="J62" s="14" t="n">
        <f aca="false">'Debt Own'!J109</f>
        <v>0</v>
      </c>
      <c r="K62" s="14" t="n">
        <f aca="false">'Debt Own'!K109</f>
        <v>0</v>
      </c>
      <c r="L62" s="14" t="n">
        <f aca="false">'Debt Own'!L109</f>
        <v>0</v>
      </c>
    </row>
    <row r="63" customFormat="false" ht="15" hidden="false" customHeight="false" outlineLevel="0" collapsed="false">
      <c r="A63" s="6" t="s">
        <v>399</v>
      </c>
      <c r="C63" s="14" t="n">
        <f aca="false">'Debt Own'!C108</f>
        <v>8840881.21202502</v>
      </c>
      <c r="D63" s="14" t="n">
        <f aca="false">'Debt Own'!D108</f>
        <v>8455726.31192185</v>
      </c>
      <c r="E63" s="14" t="n">
        <f aca="false">'Debt Own'!E108</f>
        <v>0</v>
      </c>
      <c r="F63" s="14" t="n">
        <f aca="false">'Debt Own'!F108</f>
        <v>0</v>
      </c>
      <c r="G63" s="14" t="n">
        <f aca="false">'Debt Own'!G108</f>
        <v>0</v>
      </c>
      <c r="H63" s="14" t="n">
        <f aca="false">'Debt Own'!H108</f>
        <v>0</v>
      </c>
      <c r="I63" s="14" t="n">
        <f aca="false">'Debt Own'!I108</f>
        <v>0</v>
      </c>
      <c r="J63" s="14" t="n">
        <f aca="false">'Debt Own'!J108</f>
        <v>0</v>
      </c>
      <c r="K63" s="14" t="n">
        <f aca="false">'Debt Own'!K108</f>
        <v>0</v>
      </c>
      <c r="L63" s="14" t="n">
        <f aca="false">'Debt Own'!L108</f>
        <v>0</v>
      </c>
    </row>
    <row r="64" customFormat="false" ht="15" hidden="false" customHeight="false" outlineLevel="0" collapsed="false">
      <c r="A64" s="11" t="s">
        <v>400</v>
      </c>
      <c r="C64" s="15" t="n">
        <f aca="false">C62+C58-C63</f>
        <v>2679618.78797498</v>
      </c>
      <c r="D64" s="15" t="n">
        <f aca="false">D62+D58-D63</f>
        <v>2437488.68807815</v>
      </c>
      <c r="E64" s="15" t="n">
        <f aca="false">E62+E58-E63</f>
        <v>4130251.72118128</v>
      </c>
      <c r="F64" s="15" t="n">
        <f aca="false">F62+F58-F63</f>
        <v>4130251.72118128</v>
      </c>
      <c r="G64" s="15" t="n">
        <f aca="false">G62+G58-G63</f>
        <v>4130251.72118128</v>
      </c>
      <c r="H64" s="15" t="n">
        <f aca="false">H62+H58-H63</f>
        <v>4130251.72118128</v>
      </c>
      <c r="I64" s="15" t="n">
        <f aca="false">I62+I58-I63</f>
        <v>4130251.72118128</v>
      </c>
      <c r="J64" s="15" t="n">
        <f aca="false">J62+J58-J63</f>
        <v>4130251.72118128</v>
      </c>
      <c r="K64" s="15" t="n">
        <f aca="false">K62+K58-K63</f>
        <v>4130251.72118128</v>
      </c>
      <c r="L64" s="15" t="n">
        <f aca="false">L62+L58-L63</f>
        <v>4130251.72118128</v>
      </c>
    </row>
    <row r="65" customFormat="false" ht="15" hidden="false" customHeight="false" outlineLevel="0" collapsed="false">
      <c r="A65" s="6" t="s">
        <v>401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403</v>
      </c>
      <c r="C68" s="14" t="n">
        <f aca="false">C48*Assumptions!$F$77</f>
        <v>11500000</v>
      </c>
      <c r="D68" s="14" t="n">
        <f aca="false">D48*Assumptions!$F$77</f>
        <v>0</v>
      </c>
      <c r="E68" s="14" t="n">
        <f aca="false">E48*Assumptions!$F$77</f>
        <v>-11500000</v>
      </c>
      <c r="F68" s="14" t="n">
        <f aca="false">F48*Assumptions!$F$77</f>
        <v>0</v>
      </c>
      <c r="G68" s="14" t="n">
        <f aca="false">G48*Assumptions!$F$77</f>
        <v>0</v>
      </c>
      <c r="H68" s="14" t="n">
        <f aca="false">H48*Assumptions!$F$77</f>
        <v>0</v>
      </c>
      <c r="I68" s="14" t="n">
        <f aca="false">I48*Assumptions!$F$77</f>
        <v>0</v>
      </c>
      <c r="J68" s="14" t="n">
        <f aca="false">J48*Assumptions!$F$77</f>
        <v>0</v>
      </c>
      <c r="K68" s="14" t="n">
        <f aca="false">K48*Assumptions!$F$77</f>
        <v>0</v>
      </c>
      <c r="L68" s="14" t="n">
        <f aca="false">L48*Assumptions!$F$77</f>
        <v>0</v>
      </c>
    </row>
    <row r="69" customFormat="false" ht="15" hidden="false" customHeight="false" outlineLevel="0" collapsed="false">
      <c r="A69" s="6" t="s">
        <v>404</v>
      </c>
      <c r="C69" s="37" t="n">
        <f aca="false">C36-C38-C39-C51-C52-C68+C41</f>
        <v>-13056449</v>
      </c>
      <c r="D69" s="37" t="n">
        <f aca="false">D36-D38-D39-D51-D52-D68+D41</f>
        <v>-1761446.29787181</v>
      </c>
      <c r="E69" s="37" t="n">
        <f aca="false">E36-E38-E39-E51-E52-E68+E41</f>
        <v>20046308.0331031</v>
      </c>
      <c r="F69" s="37" t="n">
        <f aca="false">F36-F38-F39-F51-F52-F68+F41</f>
        <v>0</v>
      </c>
      <c r="G69" s="37" t="n">
        <f aca="false">G36-G38-G39-G51-G52-G68+G41</f>
        <v>0</v>
      </c>
      <c r="H69" s="37" t="n">
        <f aca="false">H36-H38-H39-H51-H52-H68+H41</f>
        <v>0</v>
      </c>
      <c r="I69" s="37" t="n">
        <f aca="false">I36-I38-I39-I51-I52-I68+I41</f>
        <v>0</v>
      </c>
      <c r="J69" s="37" t="n">
        <f aca="false">J36-J38-J39-J51-J52-J68+J41</f>
        <v>0</v>
      </c>
      <c r="K69" s="37" t="n">
        <f aca="false">K36-K38-K39-K51-K52-K68+K41</f>
        <v>0</v>
      </c>
      <c r="L69" s="37" t="n">
        <f aca="false">L36-L38-L39-L51-L52-L68+L41</f>
        <v>0</v>
      </c>
    </row>
    <row r="70" customFormat="false" ht="15" hidden="false" customHeight="false" outlineLevel="0" collapsed="false">
      <c r="A70" s="11" t="s">
        <v>405</v>
      </c>
      <c r="C70" s="7" t="n">
        <f aca="false">-C69*Assumptions!$F$75</f>
        <v>4830886.13</v>
      </c>
      <c r="D70" s="7" t="n">
        <f aca="false">-D69*Assumptions!$F$75</f>
        <v>651735.130212571</v>
      </c>
      <c r="E70" s="7" t="n">
        <f aca="false">-E69*Assumptions!$F$75</f>
        <v>-7417133.97224816</v>
      </c>
      <c r="F70" s="7" t="n">
        <f aca="false">-F69*Assumptions!$F$75</f>
        <v>-0</v>
      </c>
      <c r="G70" s="7" t="n">
        <f aca="false">-G69*Assumptions!$F$75</f>
        <v>-0</v>
      </c>
      <c r="H70" s="7" t="n">
        <f aca="false">-H69*Assumptions!$F$75</f>
        <v>-0</v>
      </c>
      <c r="I70" s="7" t="n">
        <f aca="false">-I69*Assumptions!$F$75</f>
        <v>-0</v>
      </c>
      <c r="J70" s="7" t="n">
        <f aca="false">-J69*Assumptions!$F$75</f>
        <v>-0</v>
      </c>
      <c r="K70" s="7" t="n">
        <f aca="false">-K69*Assumptions!$F$75</f>
        <v>-0</v>
      </c>
      <c r="L70" s="7" t="n">
        <f aca="false">-L69*Assumptions!$F$75</f>
        <v>-0</v>
      </c>
    </row>
    <row r="71" customFormat="false" ht="15" hidden="false" customHeight="false" outlineLevel="0" collapsed="false">
      <c r="A71" s="2" t="s">
        <v>406</v>
      </c>
    </row>
    <row r="73" customFormat="false" ht="15" hidden="false" customHeight="false" outlineLevel="0" collapsed="false">
      <c r="A73" s="17" t="s">
        <v>407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250</v>
      </c>
      <c r="C74" s="42" t="n">
        <f aca="false">Assumptions!$F$71</f>
        <v>2036</v>
      </c>
    </row>
    <row r="75" customFormat="false" ht="15" hidden="false" customHeight="false" outlineLevel="0" collapsed="false">
      <c r="A75" s="6" t="s">
        <v>398</v>
      </c>
      <c r="C75" s="14" t="n">
        <f aca="false">INDEX($C$62:$L$62,MATCH(Assumptions!$F$71,$C$5:$L$5,0))</f>
        <v>0</v>
      </c>
    </row>
    <row r="76" customFormat="false" ht="15" hidden="false" customHeight="false" outlineLevel="0" collapsed="false">
      <c r="A76" s="6" t="s">
        <v>408</v>
      </c>
      <c r="C76" s="14" t="n">
        <f aca="false">-C75*Assumptions!$F$73</f>
        <v>-0</v>
      </c>
    </row>
    <row r="77" customFormat="false" ht="15" hidden="false" customHeight="false" outlineLevel="0" collapsed="false">
      <c r="A77" s="6" t="s">
        <v>409</v>
      </c>
      <c r="C77" s="14" t="n">
        <f aca="false">INDEX($C$22:$L$22,MATCH(Assumptions!$F$71,$C$5:$L$5,0))</f>
        <v>0</v>
      </c>
    </row>
    <row r="78" customFormat="false" ht="15" hidden="false" customHeight="false" outlineLevel="0" collapsed="false">
      <c r="A78" s="6" t="s">
        <v>410</v>
      </c>
      <c r="C78" s="14" t="n">
        <f aca="false">C77*Assumptions!$F$72</f>
        <v>0</v>
      </c>
    </row>
    <row r="79" customFormat="false" ht="15" hidden="false" customHeight="false" outlineLevel="0" collapsed="false">
      <c r="A79" s="6" t="s">
        <v>411</v>
      </c>
      <c r="C79" s="37" t="n">
        <f aca="false">C75+C76+C78</f>
        <v>0</v>
      </c>
    </row>
    <row r="80" customFormat="false" ht="15" hidden="false" customHeight="false" outlineLevel="0" collapsed="false">
      <c r="A80" s="6" t="s">
        <v>412</v>
      </c>
      <c r="C80" s="14" t="n">
        <f aca="false">-INDEX($C$63:$L$63,MATCH(Assumptions!$F$71,$C$5:$L$5,0))</f>
        <v>-0</v>
      </c>
    </row>
    <row r="81" customFormat="false" ht="15" hidden="false" customHeight="false" outlineLevel="0" collapsed="false">
      <c r="A81" s="6" t="s">
        <v>413</v>
      </c>
      <c r="C81" s="14" t="n">
        <f aca="false">INDEX($C$58:$L$58,MATCH(Assumptions!$F$71,$C$5:$L$5,0))</f>
        <v>4130251.72118128</v>
      </c>
    </row>
    <row r="82" customFormat="false" ht="15" hidden="false" customHeight="false" outlineLevel="0" collapsed="false">
      <c r="A82" s="11" t="s">
        <v>414</v>
      </c>
      <c r="C82" s="24" t="n">
        <f aca="false">C79+C80+C81</f>
        <v>4130251.72118128</v>
      </c>
    </row>
    <row r="83" customFormat="false" ht="15" hidden="false" customHeight="false" outlineLevel="0" collapsed="false">
      <c r="A83" s="6" t="s">
        <v>415</v>
      </c>
      <c r="C83" s="14" t="n">
        <f aca="false">SUMPRODUCT(($C$5:$L$5&lt;=Assumptions!$F$71)*$C$57:$L$57)</f>
        <v>8043983.98594997</v>
      </c>
    </row>
    <row r="84" customFormat="false" ht="15" hidden="false" customHeight="false" outlineLevel="0" collapsed="false">
      <c r="A84" s="6" t="s">
        <v>416</v>
      </c>
      <c r="C84" s="14" t="n">
        <f aca="false">SUMPRODUCT(($C$5:$L$5&lt;=Assumptions!$F$71)*$C$57:$L$57*((1+Assumptions!$F$67)^(Assumptions!$F$71-$C$5:$L$5)-1))</f>
        <v>7714964.29558267</v>
      </c>
    </row>
    <row r="85" customFormat="false" ht="15" hidden="false" customHeight="false" outlineLevel="0" collapsed="false">
      <c r="A85" s="6" t="s">
        <v>417</v>
      </c>
      <c r="C85" s="37" t="n">
        <f aca="false">MIN(MAX(C82,0),C83)</f>
        <v>4130251.72118128</v>
      </c>
    </row>
    <row r="86" customFormat="false" ht="15" hidden="false" customHeight="false" outlineLevel="0" collapsed="false">
      <c r="A86" s="6" t="s">
        <v>418</v>
      </c>
      <c r="C86" s="37" t="n">
        <f aca="false">MIN(MAX(C82,0)-C85,C84)</f>
        <v>0</v>
      </c>
    </row>
    <row r="87" customFormat="false" ht="15" hidden="false" customHeight="false" outlineLevel="0" collapsed="false">
      <c r="A87" s="6" t="s">
        <v>419</v>
      </c>
      <c r="C87" s="37" t="n">
        <f aca="false">MAX(C82,0)-C85-C86</f>
        <v>0</v>
      </c>
    </row>
    <row r="88" customFormat="false" ht="15" hidden="false" customHeight="false" outlineLevel="0" collapsed="false">
      <c r="A88" s="11" t="s">
        <v>420</v>
      </c>
      <c r="C88" s="7" t="n">
        <f aca="false">(C85+C86+C87*Assumptions!$F$68)*(1-Assumptions!$F$66)</f>
        <v>4130251.72118128</v>
      </c>
    </row>
    <row r="89" customFormat="false" ht="15" hidden="false" customHeight="false" outlineLevel="0" collapsed="false">
      <c r="A89" s="11" t="s">
        <v>421</v>
      </c>
      <c r="C89" s="7" t="n">
        <f aca="false">(C85+C86+C87*Assumptions!$F$68)*Assumptions!$F$66+C87*(1-Assumptions!$F$68)</f>
        <v>0</v>
      </c>
    </row>
    <row r="90" customFormat="false" ht="15" hidden="false" customHeight="false" outlineLevel="0" collapsed="false">
      <c r="A90" s="6" t="s">
        <v>422</v>
      </c>
      <c r="C90" s="14" t="n">
        <f aca="false">SUMPRODUCT(($C$5:$L$5&lt;=Assumptions!$F$71)*$C$51:$L$51)</f>
        <v>0</v>
      </c>
    </row>
    <row r="91" customFormat="false" ht="15" hidden="false" customHeight="false" outlineLevel="0" collapsed="false">
      <c r="A91" s="11" t="s">
        <v>423</v>
      </c>
      <c r="C91" s="9" t="n">
        <f aca="false">IF(C83=0,0,C88/(C83*(1-Assumptions!$F$66)))</f>
        <v>0.51345847137381</v>
      </c>
    </row>
    <row r="92" customFormat="false" ht="15" hidden="false" customHeight="false" outlineLevel="0" collapsed="false">
      <c r="A92" s="11" t="s">
        <v>424</v>
      </c>
      <c r="C92" s="26" t="n">
        <f aca="false">IFERROR(IRR($C$102:$L$102,0.1),IFERROR(IRR($C$102:$L$102,-0.1),"n/a"))</f>
        <v>-0.0735712183663742</v>
      </c>
    </row>
    <row r="93" customFormat="false" ht="15" hidden="false" customHeight="false" outlineLevel="0" collapsed="false">
      <c r="A93" s="11" t="s">
        <v>425</v>
      </c>
      <c r="C93" s="26" t="n">
        <f aca="false">IFERROR(IRR($C$103:$L$103,0.1),IFERROR(IRR($C$103:$L$103,-0.1),"n/a"))</f>
        <v>-0.113293064951447</v>
      </c>
    </row>
    <row r="94" customFormat="false" ht="15" hidden="false" customHeight="false" outlineLevel="0" collapsed="false">
      <c r="A94" s="6" t="s">
        <v>426</v>
      </c>
      <c r="C94" s="48" t="n">
        <f aca="false">IF(C83=0,0,(C88+SUMPRODUCT(($C$5:$L$5&lt;=Assumptions!$F$71)*$C$70:$L$70)*(1-Assumptions!$F$66)+C97)/(C83*(1-Assumptions!$F$66)))</f>
        <v>0.272966606221604</v>
      </c>
    </row>
    <row r="95" customFormat="false" ht="15" hidden="false" customHeight="false" outlineLevel="0" collapsed="false">
      <c r="A95" s="6" t="s">
        <v>427</v>
      </c>
      <c r="C95" s="16" t="n">
        <f aca="false">IFERROR(IRR($C$101:$L$101,0.1),IFERROR(IRR($C$101:$L$101,-0.1),"n/a"))</f>
        <v>-0.0735712183663742</v>
      </c>
    </row>
    <row r="96" customFormat="false" ht="15" hidden="false" customHeight="false" outlineLevel="0" collapsed="false">
      <c r="A96" s="6" t="s">
        <v>428</v>
      </c>
      <c r="C96" s="37" t="n">
        <f aca="false">MAX($C$59:$L$59)</f>
        <v>8043983.98594997</v>
      </c>
    </row>
    <row r="97" customFormat="false" ht="15" hidden="false" customHeight="false" outlineLevel="0" collapsed="false">
      <c r="A97" s="6" t="s">
        <v>429</v>
      </c>
      <c r="C97" s="14" t="n">
        <f aca="false">-(MAX(0,C75+C76)*Assumptions!$F$75+C78*Assumptions!$F$76)*(1-Assumptions!$F$66)</f>
        <v>-0</v>
      </c>
    </row>
    <row r="99" customFormat="false" ht="15" hidden="false" customHeight="false" outlineLevel="0" collapsed="false">
      <c r="A99" s="17" t="s">
        <v>430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431</v>
      </c>
      <c r="C100" s="21" t="n">
        <f aca="false">IF(C5=Assumptions!$F$71,1,0)</f>
        <v>0</v>
      </c>
      <c r="D100" s="21" t="n">
        <f aca="false">IF(D5=Assumptions!$F$71,1,0)</f>
        <v>0</v>
      </c>
      <c r="E100" s="21" t="n">
        <f aca="false">IF(E5=Assumptions!$F$71,1,0)</f>
        <v>0</v>
      </c>
      <c r="F100" s="21" t="n">
        <f aca="false">IF(F5=Assumptions!$F$71,1,0)</f>
        <v>0</v>
      </c>
      <c r="G100" s="21" t="n">
        <f aca="false">IF(G5=Assumptions!$F$71,1,0)</f>
        <v>0</v>
      </c>
      <c r="H100" s="21" t="n">
        <f aca="false">IF(H5=Assumptions!$F$71,1,0)</f>
        <v>0</v>
      </c>
      <c r="I100" s="21" t="n">
        <f aca="false">IF(I5=Assumptions!$F$71,1,0)</f>
        <v>0</v>
      </c>
      <c r="J100" s="21" t="n">
        <f aca="false">IF(J5=Assumptions!$F$71,1,0)</f>
        <v>0</v>
      </c>
      <c r="K100" s="21" t="n">
        <f aca="false">IF(K5=Assumptions!$F$71,1,0)</f>
        <v>0</v>
      </c>
      <c r="L100" s="21" t="n">
        <f aca="false">IF(L5=Assumptions!$F$71,1,0)</f>
        <v>1</v>
      </c>
    </row>
    <row r="101" customFormat="false" ht="15" hidden="false" customHeight="false" outlineLevel="0" collapsed="false">
      <c r="A101" s="6" t="s">
        <v>432</v>
      </c>
      <c r="C101" s="14" t="n">
        <f aca="false">IF(C5&gt;Assumptions!$F$71,0,-C57+C100*$C$82)</f>
        <v>-5876067.78797498</v>
      </c>
      <c r="D101" s="14" t="n">
        <f aca="false">IF(D5&gt;Assumptions!$F$71,0,-D57+D100*$C$82)</f>
        <v>-2167916.19797498</v>
      </c>
      <c r="E101" s="14" t="n">
        <f aca="false">IF(E5&gt;Assumptions!$F$71,0,-E57+E100*$C$82)</f>
        <v>0</v>
      </c>
      <c r="F101" s="14" t="n">
        <f aca="false">IF(F5&gt;Assumptions!$F$71,0,-F57+F100*$C$82)</f>
        <v>0</v>
      </c>
      <c r="G101" s="14" t="n">
        <f aca="false">IF(G5&gt;Assumptions!$F$71,0,-G57+G100*$C$82)</f>
        <v>0</v>
      </c>
      <c r="H101" s="14" t="n">
        <f aca="false">IF(H5&gt;Assumptions!$F$71,0,-H57+H100*$C$82)</f>
        <v>0</v>
      </c>
      <c r="I101" s="14" t="n">
        <f aca="false">IF(I5&gt;Assumptions!$F$71,0,-I57+I100*$C$82)</f>
        <v>0</v>
      </c>
      <c r="J101" s="14" t="n">
        <f aca="false">IF(J5&gt;Assumptions!$F$71,0,-J57+J100*$C$82)</f>
        <v>0</v>
      </c>
      <c r="K101" s="14" t="n">
        <f aca="false">IF(K5&gt;Assumptions!$F$71,0,-K57+K100*$C$82)</f>
        <v>0</v>
      </c>
      <c r="L101" s="14" t="n">
        <f aca="false">IF(L5&gt;Assumptions!$F$71,0,-L57+L100*$C$82)</f>
        <v>4130251.72118128</v>
      </c>
    </row>
    <row r="102" customFormat="false" ht="15" hidden="false" customHeight="false" outlineLevel="0" collapsed="false">
      <c r="A102" s="11" t="s">
        <v>433</v>
      </c>
      <c r="C102" s="7" t="n">
        <f aca="false">IF(C5&gt;Assumptions!$F$71,0,-C57*(1-Assumptions!$F$66)+C100*$C$88)</f>
        <v>-5876067.78797498</v>
      </c>
      <c r="D102" s="7" t="n">
        <f aca="false">IF(D5&gt;Assumptions!$F$71,0,-D57*(1-Assumptions!$F$66)+D100*$C$88)</f>
        <v>-2167916.19797498</v>
      </c>
      <c r="E102" s="7" t="n">
        <f aca="false">IF(E5&gt;Assumptions!$F$71,0,-E57*(1-Assumptions!$F$66)+E100*$C$88)</f>
        <v>0</v>
      </c>
      <c r="F102" s="7" t="n">
        <f aca="false">IF(F5&gt;Assumptions!$F$71,0,-F57*(1-Assumptions!$F$66)+F100*$C$88)</f>
        <v>0</v>
      </c>
      <c r="G102" s="7" t="n">
        <f aca="false">IF(G5&gt;Assumptions!$F$71,0,-G57*(1-Assumptions!$F$66)+G100*$C$88)</f>
        <v>0</v>
      </c>
      <c r="H102" s="7" t="n">
        <f aca="false">IF(H5&gt;Assumptions!$F$71,0,-H57*(1-Assumptions!$F$66)+H100*$C$88)</f>
        <v>0</v>
      </c>
      <c r="I102" s="7" t="n">
        <f aca="false">IF(I5&gt;Assumptions!$F$71,0,-I57*(1-Assumptions!$F$66)+I100*$C$88)</f>
        <v>0</v>
      </c>
      <c r="J102" s="7" t="n">
        <f aca="false">IF(J5&gt;Assumptions!$F$71,0,-J57*(1-Assumptions!$F$66)+J100*$C$88)</f>
        <v>0</v>
      </c>
      <c r="K102" s="7" t="n">
        <f aca="false">IF(K5&gt;Assumptions!$F$71,0,-K57*(1-Assumptions!$F$66)+K100*$C$88)</f>
        <v>0</v>
      </c>
      <c r="L102" s="7" t="n">
        <f aca="false">IF(L5&gt;Assumptions!$F$71,0,-L57*(1-Assumptions!$F$66)+L100*$C$88)</f>
        <v>4130251.72118128</v>
      </c>
    </row>
    <row r="103" customFormat="false" ht="15" hidden="false" customHeight="false" outlineLevel="0" collapsed="false">
      <c r="A103" s="6" t="s">
        <v>434</v>
      </c>
      <c r="C103" s="14" t="n">
        <f aca="false">IF(C5&gt;Assumptions!$F$71,0,C102+C70*(1-Assumptions!$F$66)+C100*$C$97)</f>
        <v>-1045181.65797498</v>
      </c>
      <c r="D103" s="14" t="n">
        <f aca="false">IF(D5&gt;Assumptions!$F$71,0,D102+D70*(1-Assumptions!$F$66)+D100*$C$97)</f>
        <v>-1516181.06776241</v>
      </c>
      <c r="E103" s="14" t="n">
        <f aca="false">IF(E5&gt;Assumptions!$F$71,0,E102+E70*(1-Assumptions!$F$66)+E100*$C$97)</f>
        <v>-7417133.97224816</v>
      </c>
      <c r="F103" s="14" t="n">
        <f aca="false">IF(F5&gt;Assumptions!$F$71,0,F102+F70*(1-Assumptions!$F$66)+F100*$C$97)</f>
        <v>0</v>
      </c>
      <c r="G103" s="14" t="n">
        <f aca="false">IF(G5&gt;Assumptions!$F$71,0,G102+G70*(1-Assumptions!$F$66)+G100*$C$97)</f>
        <v>0</v>
      </c>
      <c r="H103" s="14" t="n">
        <f aca="false">IF(H5&gt;Assumptions!$F$71,0,H102+H70*(1-Assumptions!$F$66)+H100*$C$97)</f>
        <v>0</v>
      </c>
      <c r="I103" s="14" t="n">
        <f aca="false">IF(I5&gt;Assumptions!$F$71,0,I102+I70*(1-Assumptions!$F$66)+I100*$C$97)</f>
        <v>0</v>
      </c>
      <c r="J103" s="14" t="n">
        <f aca="false">IF(J5&gt;Assumptions!$F$71,0,J102+J70*(1-Assumptions!$F$66)+J100*$C$97)</f>
        <v>0</v>
      </c>
      <c r="K103" s="14" t="n">
        <f aca="false">IF(K5&gt;Assumptions!$F$71,0,K102+K70*(1-Assumptions!$F$66)+K100*$C$97)</f>
        <v>0</v>
      </c>
      <c r="L103" s="14" t="n">
        <f aca="false">IF(L5&gt;Assumptions!$F$71,0,L102+L70*(1-Assumptions!$F$66)+L100*$C$97)</f>
        <v>4130251.72118128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435</v>
      </c>
    </row>
    <row r="2" customFormat="false" ht="15" hidden="false" customHeight="false" outlineLevel="0" collapsed="false">
      <c r="A2" s="2" t="s">
        <v>327</v>
      </c>
    </row>
    <row r="4" customFormat="false" ht="15" hidden="false" customHeight="false" outlineLevel="0" collapsed="false">
      <c r="A4" s="4" t="s">
        <v>95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329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330</v>
      </c>
      <c r="B8" s="42" t="n">
        <f aca="false">2027+COUNTIF('Fleet Plan'!$C$14:$L$14,"&lt;1")</f>
        <v>2027</v>
      </c>
    </row>
    <row r="9" customFormat="false" ht="15" hidden="false" customHeight="false" outlineLevel="0" collapsed="false">
      <c r="A9" s="6" t="s">
        <v>331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274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332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333</v>
      </c>
      <c r="C12" s="14" t="n">
        <f aca="false">IF(C$5=$B$8,$B$10,IF(AND(C$5&gt;$B$8,C$5&lt;=IF('Unit Economics'!$F$41=1,9999,Assumptions!$F$64)),0,0))</f>
        <v>9200000</v>
      </c>
      <c r="D12" s="14" t="n">
        <f aca="false">IF(D$5=$B$8,$B$10,IF(AND(D$5&gt;$B$8,D$5&lt;=IF('Unit Economics'!$F$41=1,9999,Assumptions!$F$64)),C17,0))</f>
        <v>8840881.21202502</v>
      </c>
      <c r="E12" s="14" t="n">
        <f aca="false">IF(E$5=$B$8,$B$10,IF(AND(E$5&gt;$B$8,E$5&lt;=IF('Unit Economics'!$F$41=1,9999,Assumptions!$F$64)),D17,0))</f>
        <v>8455726.31192185</v>
      </c>
      <c r="F12" s="14" t="n">
        <f aca="false">IF(F$5=$B$8,$B$10,IF(AND(F$5&gt;$B$8,F$5&lt;=IF('Unit Economics'!$F$41=1,9999,Assumptions!$F$64)),E17,0))</f>
        <v>0</v>
      </c>
      <c r="G12" s="14" t="n">
        <f aca="false">IF(G$5=$B$8,$B$10,IF(AND(G$5&gt;$B$8,G$5&lt;=IF('Unit Economics'!$F$41=1,9999,Assumptions!$F$64)),F17,0))</f>
        <v>0</v>
      </c>
      <c r="H12" s="14" t="n">
        <f aca="false">IF(H$5=$B$8,$B$10,IF(AND(H$5&gt;$B$8,H$5&lt;=IF('Unit Economics'!$F$41=1,9999,Assumptions!$F$64)),G17,0))</f>
        <v>0</v>
      </c>
      <c r="I12" s="14" t="n">
        <f aca="false">IF(I$5=$B$8,$B$10,IF(AND(I$5&gt;$B$8,I$5&lt;=IF('Unit Economics'!$F$41=1,9999,Assumptions!$F$64)),H17,0))</f>
        <v>0</v>
      </c>
      <c r="J12" s="14" t="n">
        <f aca="false">IF(J$5=$B$8,$B$10,IF(AND(J$5&gt;$B$8,J$5&lt;=IF('Unit Economics'!$F$41=1,9999,Assumptions!$F$64)),I17,0))</f>
        <v>0</v>
      </c>
      <c r="K12" s="14" t="n">
        <f aca="false">IF(K$5=$B$8,$B$10,IF(AND(K$5&gt;$B$8,K$5&lt;=IF('Unit Economics'!$F$41=1,9999,Assumptions!$F$64)),J17,0))</f>
        <v>0</v>
      </c>
      <c r="L12" s="14" t="n">
        <f aca="false">IF(L$5=$B$8,$B$10,IF(AND(L$5&gt;$B$8,L$5&lt;=IF('Unit Economics'!$F$41=1,9999,Assumptions!$F$64)),K17,0))</f>
        <v>0</v>
      </c>
    </row>
    <row r="13" customFormat="false" ht="15" hidden="false" customHeight="false" outlineLevel="0" collapsed="false">
      <c r="A13" s="6" t="s">
        <v>334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335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336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337</v>
      </c>
      <c r="C16" s="14" t="n">
        <f aca="false">IF(C$5=IF('Unit Economics'!$F$41=1,9999,Assumptions!$F$64),C12-C15,0)</f>
        <v>0</v>
      </c>
      <c r="D16" s="14" t="n">
        <f aca="false">IF(D$5=IF('Unit Economics'!$F$41=1,9999,Assumptions!$F$64),D12-D15,0)</f>
        <v>0</v>
      </c>
      <c r="E16" s="14" t="n">
        <f aca="false">IF(E$5=IF('Unit Economics'!$F$41=1,9999,Assumptions!$F$64),E12-E15,0)</f>
        <v>8042647.6815612</v>
      </c>
      <c r="F16" s="14" t="n">
        <f aca="false">IF(F$5=IF('Unit Economics'!$F$41=1,9999,Assumptions!$F$64),F12-F15,0)</f>
        <v>0</v>
      </c>
      <c r="G16" s="14" t="n">
        <f aca="false">IF(G$5=IF('Unit Economics'!$F$41=1,9999,Assumptions!$F$64),G12-G15,0)</f>
        <v>0</v>
      </c>
      <c r="H16" s="14" t="n">
        <f aca="false">IF(H$5=IF('Unit Economics'!$F$41=1,9999,Assumptions!$F$64),H12-H15,0)</f>
        <v>0</v>
      </c>
      <c r="I16" s="14" t="n">
        <f aca="false">IF(I$5=IF('Unit Economics'!$F$41=1,9999,Assumptions!$F$64),I12-I15,0)</f>
        <v>0</v>
      </c>
      <c r="J16" s="14" t="n">
        <f aca="false">IF(J$5=IF('Unit Economics'!$F$41=1,9999,Assumptions!$F$64),J12-J15,0)</f>
        <v>0</v>
      </c>
      <c r="K16" s="14" t="n">
        <f aca="false">IF(K$5=IF('Unit Economics'!$F$41=1,9999,Assumptions!$F$64),K12-K15,0)</f>
        <v>0</v>
      </c>
      <c r="L16" s="14" t="n">
        <f aca="false">IF(L$5=IF('Unit Economics'!$F$41=1,9999,Assumptions!$F$64),L12-L15,0)</f>
        <v>0</v>
      </c>
    </row>
    <row r="17" customFormat="false" ht="15" hidden="false" customHeight="false" outlineLevel="0" collapsed="false">
      <c r="A17" s="6" t="s">
        <v>338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339</v>
      </c>
      <c r="C18" s="14" t="n">
        <f aca="false">IF(AND(C$5&gt;=$B$8,C$5&lt;IF('Unit Economics'!$F$41=1,9999,Assumptions!$F$64)),$B$9*(1-Assumptions!$F$74)^(C$5-$B$8+1),0)</f>
        <v>10810000</v>
      </c>
      <c r="D18" s="14" t="n">
        <f aca="false">IF(AND(D$5&gt;=$B$8,D$5&lt;IF('Unit Economics'!$F$41=1,9999,Assumptions!$F$64)),$B$9*(1-Assumptions!$F$74)^(D$5-$B$8+1),0)</f>
        <v>10161400</v>
      </c>
      <c r="E18" s="14" t="n">
        <f aca="false">IF(AND(E$5&gt;=$B$8,E$5&lt;IF('Unit Economics'!$F$41=1,9999,Assumptions!$F$64)),$B$9*(1-Assumptions!$F$74)^(E$5-$B$8+1),0)</f>
        <v>0</v>
      </c>
      <c r="F18" s="14" t="n">
        <f aca="false">IF(AND(F$5&gt;=$B$8,F$5&lt;IF('Unit Economics'!$F$41=1,9999,Assumptions!$F$64)),$B$9*(1-Assumptions!$F$74)^(F$5-$B$8+1),0)</f>
        <v>0</v>
      </c>
      <c r="G18" s="14" t="n">
        <f aca="false">IF(AND(G$5&gt;=$B$8,G$5&lt;IF('Unit Economics'!$F$41=1,9999,Assumptions!$F$64)),$B$9*(1-Assumptions!$F$74)^(G$5-$B$8+1),0)</f>
        <v>0</v>
      </c>
      <c r="H18" s="14" t="n">
        <f aca="false">IF(AND(H$5&gt;=$B$8,H$5&lt;IF('Unit Economics'!$F$41=1,9999,Assumptions!$F$64)),$B$9*(1-Assumptions!$F$74)^(H$5-$B$8+1),0)</f>
        <v>0</v>
      </c>
      <c r="I18" s="14" t="n">
        <f aca="false">IF(AND(I$5&gt;=$B$8,I$5&lt;IF('Unit Economics'!$F$41=1,9999,Assumptions!$F$64)),$B$9*(1-Assumptions!$F$74)^(I$5-$B$8+1),0)</f>
        <v>0</v>
      </c>
      <c r="J18" s="14" t="n">
        <f aca="false">IF(AND(J$5&gt;=$B$8,J$5&lt;IF('Unit Economics'!$F$41=1,9999,Assumptions!$F$64)),$B$9*(1-Assumptions!$F$74)^(J$5-$B$8+1),0)</f>
        <v>0</v>
      </c>
      <c r="K18" s="14" t="n">
        <f aca="false">IF(AND(K$5&gt;=$B$8,K$5&lt;IF('Unit Economics'!$F$41=1,9999,Assumptions!$F$64)),$B$9*(1-Assumptions!$F$74)^(K$5-$B$8+1),0)</f>
        <v>0</v>
      </c>
      <c r="L18" s="14" t="n">
        <f aca="false">IF(AND(L$5&gt;=$B$8,L$5&lt;IF('Unit Economics'!$F$41=1,9999,Assumptions!$F$64)),$B$9*(1-Assumptions!$F$74)^(L$5-$B$8+1),0)</f>
        <v>0</v>
      </c>
    </row>
    <row r="19" customFormat="false" ht="15" hidden="false" customHeight="false" outlineLevel="0" collapsed="false">
      <c r="A19" s="6" t="s">
        <v>340</v>
      </c>
      <c r="C19" s="14" t="n">
        <f aca="false">IF(AND(C$5=IF('Unit Economics'!$F$41=1,9999,Assumptions!$F$64),C$5&gt;=$B$8),$B$9*(1-Assumptions!$F$74)^(C$5-$B$8+0.5)*(1-Assumptions!$F$73),0)</f>
        <v>0</v>
      </c>
      <c r="D19" s="14" t="n">
        <f aca="false">IF(AND(D$5=IF('Unit Economics'!$F$41=1,9999,Assumptions!$F$64),D$5&gt;=$B$8),$B$9*(1-Assumptions!$F$74)^(D$5-$B$8+0.5)*(1-Assumptions!$F$73),0)</f>
        <v>0</v>
      </c>
      <c r="E19" s="14" t="n">
        <f aca="false">IF(AND(E$5=IF('Unit Economics'!$F$41=1,9999,Assumptions!$F$64),E$5&gt;=$B$8),$B$9*(1-Assumptions!$F$74)^(E$5-$B$8+0.5)*(1-Assumptions!$F$73),0)</f>
        <v>9654805.96421746</v>
      </c>
      <c r="F19" s="14" t="n">
        <f aca="false">IF(AND(F$5=IF('Unit Economics'!$F$41=1,9999,Assumptions!$F$64),F$5&gt;=$B$8),$B$9*(1-Assumptions!$F$74)^(F$5-$B$8+0.5)*(1-Assumptions!$F$73),0)</f>
        <v>0</v>
      </c>
      <c r="G19" s="14" t="n">
        <f aca="false">IF(AND(G$5=IF('Unit Economics'!$F$41=1,9999,Assumptions!$F$64),G$5&gt;=$B$8),$B$9*(1-Assumptions!$F$74)^(G$5-$B$8+0.5)*(1-Assumptions!$F$73),0)</f>
        <v>0</v>
      </c>
      <c r="H19" s="14" t="n">
        <f aca="false">IF(AND(H$5=IF('Unit Economics'!$F$41=1,9999,Assumptions!$F$64),H$5&gt;=$B$8),$B$9*(1-Assumptions!$F$74)^(H$5-$B$8+0.5)*(1-Assumptions!$F$73),0)</f>
        <v>0</v>
      </c>
      <c r="I19" s="14" t="n">
        <f aca="false">IF(AND(I$5=IF('Unit Economics'!$F$41=1,9999,Assumptions!$F$64),I$5&gt;=$B$8),$B$9*(1-Assumptions!$F$74)^(I$5-$B$8+0.5)*(1-Assumptions!$F$73),0)</f>
        <v>0</v>
      </c>
      <c r="J19" s="14" t="n">
        <f aca="false">IF(AND(J$5=IF('Unit Economics'!$F$41=1,9999,Assumptions!$F$64),J$5&gt;=$B$8),$B$9*(1-Assumptions!$F$74)^(J$5-$B$8+0.5)*(1-Assumptions!$F$73),0)</f>
        <v>0</v>
      </c>
      <c r="K19" s="14" t="n">
        <f aca="false">IF(AND(K$5=IF('Unit Economics'!$F$41=1,9999,Assumptions!$F$64),K$5&gt;=$B$8),$B$9*(1-Assumptions!$F$74)^(K$5-$B$8+0.5)*(1-Assumptions!$F$73),0)</f>
        <v>0</v>
      </c>
      <c r="L19" s="14" t="n">
        <f aca="false">IF(AND(L$5=IF('Unit Economics'!$F$41=1,9999,Assumptions!$F$64),L$5&gt;=$B$8),$B$9*(1-Assumptions!$F$74)^(L$5-$B$8+0.5)*(1-Assumptions!$F$73),0)</f>
        <v>0</v>
      </c>
    </row>
    <row r="21" customFormat="false" ht="15" hidden="false" customHeight="false" outlineLevel="0" collapsed="false">
      <c r="A21" s="17" t="s">
        <v>341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330</v>
      </c>
      <c r="B22" s="42" t="n">
        <f aca="false">2027+COUNTIF('Fleet Plan'!$C$14:$L$14,"&lt;2")</f>
        <v>2037</v>
      </c>
    </row>
    <row r="23" customFormat="false" ht="15" hidden="false" customHeight="false" outlineLevel="0" collapsed="false">
      <c r="A23" s="6" t="s">
        <v>331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274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332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333</v>
      </c>
      <c r="C26" s="14" t="n">
        <f aca="false">IF(C$5=$B$22,$B$24,IF(AND(C$5&gt;$B$22,C$5&lt;=IF('Unit Economics'!$F$41=1,9999,Assumptions!$F$64)),0,0))</f>
        <v>0</v>
      </c>
      <c r="D26" s="14" t="n">
        <f aca="false">IF(D$5=$B$22,$B$24,IF(AND(D$5&gt;$B$22,D$5&lt;=IF('Unit Economics'!$F$41=1,9999,Assumptions!$F$64)),C31,0))</f>
        <v>0</v>
      </c>
      <c r="E26" s="14" t="n">
        <f aca="false">IF(E$5=$B$22,$B$24,IF(AND(E$5&gt;$B$22,E$5&lt;=IF('Unit Economics'!$F$41=1,9999,Assumptions!$F$64)),D31,0))</f>
        <v>0</v>
      </c>
      <c r="F26" s="14" t="n">
        <f aca="false">IF(F$5=$B$22,$B$24,IF(AND(F$5&gt;$B$22,F$5&lt;=IF('Unit Economics'!$F$41=1,9999,Assumptions!$F$64)),E31,0))</f>
        <v>0</v>
      </c>
      <c r="G26" s="14" t="n">
        <f aca="false">IF(G$5=$B$22,$B$24,IF(AND(G$5&gt;$B$22,G$5&lt;=IF('Unit Economics'!$F$41=1,9999,Assumptions!$F$64)),F31,0))</f>
        <v>0</v>
      </c>
      <c r="H26" s="14" t="n">
        <f aca="false">IF(H$5=$B$22,$B$24,IF(AND(H$5&gt;$B$22,H$5&lt;=IF('Unit Economics'!$F$41=1,9999,Assumptions!$F$64)),G31,0))</f>
        <v>0</v>
      </c>
      <c r="I26" s="14" t="n">
        <f aca="false">IF(I$5=$B$22,$B$24,IF(AND(I$5&gt;$B$22,I$5&lt;=IF('Unit Economics'!$F$41=1,9999,Assumptions!$F$64)),H31,0))</f>
        <v>0</v>
      </c>
      <c r="J26" s="14" t="n">
        <f aca="false">IF(J$5=$B$22,$B$24,IF(AND(J$5&gt;$B$22,J$5&lt;=IF('Unit Economics'!$F$41=1,9999,Assumptions!$F$64)),I31,0))</f>
        <v>0</v>
      </c>
      <c r="K26" s="14" t="n">
        <f aca="false">IF(K$5=$B$22,$B$24,IF(AND(K$5&gt;$B$22,K$5&lt;=IF('Unit Economics'!$F$41=1,9999,Assumptions!$F$64)),J31,0))</f>
        <v>0</v>
      </c>
      <c r="L26" s="14" t="n">
        <f aca="false">IF(L$5=$B$22,$B$24,IF(AND(L$5&gt;$B$22,L$5&lt;=IF('Unit Economics'!$F$41=1,9999,Assumptions!$F$64)),K31,0))</f>
        <v>0</v>
      </c>
    </row>
    <row r="27" customFormat="false" ht="15" hidden="false" customHeight="false" outlineLevel="0" collapsed="false">
      <c r="A27" s="6" t="s">
        <v>334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335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336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337</v>
      </c>
      <c r="C30" s="14" t="n">
        <f aca="false">IF(C$5=IF('Unit Economics'!$F$41=1,9999,Assumptions!$F$64),C26-C29,0)</f>
        <v>0</v>
      </c>
      <c r="D30" s="14" t="n">
        <f aca="false">IF(D$5=IF('Unit Economics'!$F$41=1,9999,Assumptions!$F$64),D26-D29,0)</f>
        <v>0</v>
      </c>
      <c r="E30" s="14" t="n">
        <f aca="false">IF(E$5=IF('Unit Economics'!$F$41=1,9999,Assumptions!$F$64),E26-E29,0)</f>
        <v>0</v>
      </c>
      <c r="F30" s="14" t="n">
        <f aca="false">IF(F$5=IF('Unit Economics'!$F$41=1,9999,Assumptions!$F$64),F26-F29,0)</f>
        <v>0</v>
      </c>
      <c r="G30" s="14" t="n">
        <f aca="false">IF(G$5=IF('Unit Economics'!$F$41=1,9999,Assumptions!$F$64),G26-G29,0)</f>
        <v>0</v>
      </c>
      <c r="H30" s="14" t="n">
        <f aca="false">IF(H$5=IF('Unit Economics'!$F$41=1,9999,Assumptions!$F$64),H26-H29,0)</f>
        <v>0</v>
      </c>
      <c r="I30" s="14" t="n">
        <f aca="false">IF(I$5=IF('Unit Economics'!$F$41=1,9999,Assumptions!$F$64),I26-I29,0)</f>
        <v>0</v>
      </c>
      <c r="J30" s="14" t="n">
        <f aca="false">IF(J$5=IF('Unit Economics'!$F$41=1,9999,Assumptions!$F$64),J26-J29,0)</f>
        <v>0</v>
      </c>
      <c r="K30" s="14" t="n">
        <f aca="false">IF(K$5=IF('Unit Economics'!$F$41=1,9999,Assumptions!$F$64),K26-K29,0)</f>
        <v>0</v>
      </c>
      <c r="L30" s="14" t="n">
        <f aca="false">IF(L$5=IF('Unit Economics'!$F$41=1,9999,Assumptions!$F$64),L26-L29,0)</f>
        <v>0</v>
      </c>
    </row>
    <row r="31" customFormat="false" ht="15" hidden="false" customHeight="false" outlineLevel="0" collapsed="false">
      <c r="A31" s="6" t="s">
        <v>338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339</v>
      </c>
      <c r="C32" s="14" t="n">
        <f aca="false">IF(AND(C$5&gt;=$B$22,C$5&lt;IF('Unit Economics'!$F$41=1,9999,Assumptions!$F$64)),$B$23*(1-Assumptions!$F$74)^(C$5-$B$22+1),0)</f>
        <v>0</v>
      </c>
      <c r="D32" s="14" t="n">
        <f aca="false">IF(AND(D$5&gt;=$B$22,D$5&lt;IF('Unit Economics'!$F$41=1,9999,Assumptions!$F$64)),$B$23*(1-Assumptions!$F$74)^(D$5-$B$22+1),0)</f>
        <v>0</v>
      </c>
      <c r="E32" s="14" t="n">
        <f aca="false">IF(AND(E$5&gt;=$B$22,E$5&lt;IF('Unit Economics'!$F$41=1,9999,Assumptions!$F$64)),$B$23*(1-Assumptions!$F$74)^(E$5-$B$22+1),0)</f>
        <v>0</v>
      </c>
      <c r="F32" s="14" t="n">
        <f aca="false">IF(AND(F$5&gt;=$B$22,F$5&lt;IF('Unit Economics'!$F$41=1,9999,Assumptions!$F$64)),$B$23*(1-Assumptions!$F$74)^(F$5-$B$22+1),0)</f>
        <v>0</v>
      </c>
      <c r="G32" s="14" t="n">
        <f aca="false">IF(AND(G$5&gt;=$B$22,G$5&lt;IF('Unit Economics'!$F$41=1,9999,Assumptions!$F$64)),$B$23*(1-Assumptions!$F$74)^(G$5-$B$22+1),0)</f>
        <v>0</v>
      </c>
      <c r="H32" s="14" t="n">
        <f aca="false">IF(AND(H$5&gt;=$B$22,H$5&lt;IF('Unit Economics'!$F$41=1,9999,Assumptions!$F$64)),$B$23*(1-Assumptions!$F$74)^(H$5-$B$22+1),0)</f>
        <v>0</v>
      </c>
      <c r="I32" s="14" t="n">
        <f aca="false">IF(AND(I$5&gt;=$B$22,I$5&lt;IF('Unit Economics'!$F$41=1,9999,Assumptions!$F$64)),$B$23*(1-Assumptions!$F$74)^(I$5-$B$22+1),0)</f>
        <v>0</v>
      </c>
      <c r="J32" s="14" t="n">
        <f aca="false">IF(AND(J$5&gt;=$B$22,J$5&lt;IF('Unit Economics'!$F$41=1,9999,Assumptions!$F$64)),$B$23*(1-Assumptions!$F$74)^(J$5-$B$22+1),0)</f>
        <v>0</v>
      </c>
      <c r="K32" s="14" t="n">
        <f aca="false">IF(AND(K$5&gt;=$B$22,K$5&lt;IF('Unit Economics'!$F$41=1,9999,Assumptions!$F$64)),$B$23*(1-Assumptions!$F$74)^(K$5-$B$22+1),0)</f>
        <v>0</v>
      </c>
      <c r="L32" s="14" t="n">
        <f aca="false">IF(AND(L$5&gt;=$B$22,L$5&lt;IF('Unit Economics'!$F$41=1,9999,Assumptions!$F$64)),$B$23*(1-Assumptions!$F$74)^(L$5-$B$22+1),0)</f>
        <v>0</v>
      </c>
    </row>
    <row r="33" customFormat="false" ht="15" hidden="false" customHeight="false" outlineLevel="0" collapsed="false">
      <c r="A33" s="6" t="s">
        <v>340</v>
      </c>
      <c r="C33" s="14" t="n">
        <f aca="false">IF(AND(C$5=IF('Unit Economics'!$F$41=1,9999,Assumptions!$F$64),C$5&gt;=$B$22),$B$23*(1-Assumptions!$F$74)^(C$5-$B$22+0.5)*(1-Assumptions!$F$73),0)</f>
        <v>0</v>
      </c>
      <c r="D33" s="14" t="n">
        <f aca="false">IF(AND(D$5=IF('Unit Economics'!$F$41=1,9999,Assumptions!$F$64),D$5&gt;=$B$22),$B$23*(1-Assumptions!$F$74)^(D$5-$B$22+0.5)*(1-Assumptions!$F$73),0)</f>
        <v>0</v>
      </c>
      <c r="E33" s="14" t="n">
        <f aca="false">IF(AND(E$5=IF('Unit Economics'!$F$41=1,9999,Assumptions!$F$64),E$5&gt;=$B$22),$B$23*(1-Assumptions!$F$74)^(E$5-$B$22+0.5)*(1-Assumptions!$F$73),0)</f>
        <v>0</v>
      </c>
      <c r="F33" s="14" t="n">
        <f aca="false">IF(AND(F$5=IF('Unit Economics'!$F$41=1,9999,Assumptions!$F$64),F$5&gt;=$B$22),$B$23*(1-Assumptions!$F$74)^(F$5-$B$22+0.5)*(1-Assumptions!$F$73),0)</f>
        <v>0</v>
      </c>
      <c r="G33" s="14" t="n">
        <f aca="false">IF(AND(G$5=IF('Unit Economics'!$F$41=1,9999,Assumptions!$F$64),G$5&gt;=$B$22),$B$23*(1-Assumptions!$F$74)^(G$5-$B$22+0.5)*(1-Assumptions!$F$73),0)</f>
        <v>0</v>
      </c>
      <c r="H33" s="14" t="n">
        <f aca="false">IF(AND(H$5=IF('Unit Economics'!$F$41=1,9999,Assumptions!$F$64),H$5&gt;=$B$22),$B$23*(1-Assumptions!$F$74)^(H$5-$B$22+0.5)*(1-Assumptions!$F$73),0)</f>
        <v>0</v>
      </c>
      <c r="I33" s="14" t="n">
        <f aca="false">IF(AND(I$5=IF('Unit Economics'!$F$41=1,9999,Assumptions!$F$64),I$5&gt;=$B$22),$B$23*(1-Assumptions!$F$74)^(I$5-$B$22+0.5)*(1-Assumptions!$F$73),0)</f>
        <v>0</v>
      </c>
      <c r="J33" s="14" t="n">
        <f aca="false">IF(AND(J$5=IF('Unit Economics'!$F$41=1,9999,Assumptions!$F$64),J$5&gt;=$B$22),$B$23*(1-Assumptions!$F$74)^(J$5-$B$22+0.5)*(1-Assumptions!$F$73),0)</f>
        <v>0</v>
      </c>
      <c r="K33" s="14" t="n">
        <f aca="false">IF(AND(K$5=IF('Unit Economics'!$F$41=1,9999,Assumptions!$F$64),K$5&gt;=$B$22),$B$23*(1-Assumptions!$F$74)^(K$5-$B$22+0.5)*(1-Assumptions!$F$73),0)</f>
        <v>0</v>
      </c>
      <c r="L33" s="14" t="n">
        <f aca="false">IF(AND(L$5=IF('Unit Economics'!$F$41=1,9999,Assumptions!$F$64),L$5&gt;=$B$22),$B$23*(1-Assumptions!$F$74)^(L$5-$B$22+0.5)*(1-Assumptions!$F$73),0)</f>
        <v>0</v>
      </c>
    </row>
    <row r="35" customFormat="false" ht="15" hidden="false" customHeight="false" outlineLevel="0" collapsed="false">
      <c r="A35" s="17" t="s">
        <v>342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330</v>
      </c>
      <c r="B36" s="42" t="n">
        <f aca="false">2027+COUNTIF('Fleet Plan'!$C$14:$L$14,"&lt;3")</f>
        <v>2037</v>
      </c>
    </row>
    <row r="37" customFormat="false" ht="15" hidden="false" customHeight="false" outlineLevel="0" collapsed="false">
      <c r="A37" s="6" t="s">
        <v>331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274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332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333</v>
      </c>
      <c r="C40" s="14" t="n">
        <f aca="false">IF(C$5=$B$36,$B$38,IF(AND(C$5&gt;$B$36,C$5&lt;=IF('Unit Economics'!$F$41=1,9999,Assumptions!$F$64)),0,0))</f>
        <v>0</v>
      </c>
      <c r="D40" s="14" t="n">
        <f aca="false">IF(D$5=$B$36,$B$38,IF(AND(D$5&gt;$B$36,D$5&lt;=IF('Unit Economics'!$F$41=1,9999,Assumptions!$F$64)),C45,0))</f>
        <v>0</v>
      </c>
      <c r="E40" s="14" t="n">
        <f aca="false">IF(E$5=$B$36,$B$38,IF(AND(E$5&gt;$B$36,E$5&lt;=IF('Unit Economics'!$F$41=1,9999,Assumptions!$F$64)),D45,0))</f>
        <v>0</v>
      </c>
      <c r="F40" s="14" t="n">
        <f aca="false">IF(F$5=$B$36,$B$38,IF(AND(F$5&gt;$B$36,F$5&lt;=IF('Unit Economics'!$F$41=1,9999,Assumptions!$F$64)),E45,0))</f>
        <v>0</v>
      </c>
      <c r="G40" s="14" t="n">
        <f aca="false">IF(G$5=$B$36,$B$38,IF(AND(G$5&gt;$B$36,G$5&lt;=IF('Unit Economics'!$F$41=1,9999,Assumptions!$F$64)),F45,0))</f>
        <v>0</v>
      </c>
      <c r="H40" s="14" t="n">
        <f aca="false">IF(H$5=$B$36,$B$38,IF(AND(H$5&gt;$B$36,H$5&lt;=IF('Unit Economics'!$F$41=1,9999,Assumptions!$F$64)),G45,0))</f>
        <v>0</v>
      </c>
      <c r="I40" s="14" t="n">
        <f aca="false">IF(I$5=$B$36,$B$38,IF(AND(I$5&gt;$B$36,I$5&lt;=IF('Unit Economics'!$F$41=1,9999,Assumptions!$F$64)),H45,0))</f>
        <v>0</v>
      </c>
      <c r="J40" s="14" t="n">
        <f aca="false">IF(J$5=$B$36,$B$38,IF(AND(J$5&gt;$B$36,J$5&lt;=IF('Unit Economics'!$F$41=1,9999,Assumptions!$F$64)),I45,0))</f>
        <v>0</v>
      </c>
      <c r="K40" s="14" t="n">
        <f aca="false">IF(K$5=$B$36,$B$38,IF(AND(K$5&gt;$B$36,K$5&lt;=IF('Unit Economics'!$F$41=1,9999,Assumptions!$F$64)),J45,0))</f>
        <v>0</v>
      </c>
      <c r="L40" s="14" t="n">
        <f aca="false">IF(L$5=$B$36,$B$38,IF(AND(L$5&gt;$B$36,L$5&lt;=IF('Unit Economics'!$F$41=1,9999,Assumptions!$F$64)),K45,0))</f>
        <v>0</v>
      </c>
    </row>
    <row r="41" customFormat="false" ht="15" hidden="false" customHeight="false" outlineLevel="0" collapsed="false">
      <c r="A41" s="6" t="s">
        <v>334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335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336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337</v>
      </c>
      <c r="C44" s="14" t="n">
        <f aca="false">IF(C$5=IF('Unit Economics'!$F$41=1,9999,Assumptions!$F$64),C40-C43,0)</f>
        <v>0</v>
      </c>
      <c r="D44" s="14" t="n">
        <f aca="false">IF(D$5=IF('Unit Economics'!$F$41=1,9999,Assumptions!$F$64),D40-D43,0)</f>
        <v>0</v>
      </c>
      <c r="E44" s="14" t="n">
        <f aca="false">IF(E$5=IF('Unit Economics'!$F$41=1,9999,Assumptions!$F$64),E40-E43,0)</f>
        <v>0</v>
      </c>
      <c r="F44" s="14" t="n">
        <f aca="false">IF(F$5=IF('Unit Economics'!$F$41=1,9999,Assumptions!$F$64),F40-F43,0)</f>
        <v>0</v>
      </c>
      <c r="G44" s="14" t="n">
        <f aca="false">IF(G$5=IF('Unit Economics'!$F$41=1,9999,Assumptions!$F$64),G40-G43,0)</f>
        <v>0</v>
      </c>
      <c r="H44" s="14" t="n">
        <f aca="false">IF(H$5=IF('Unit Economics'!$F$41=1,9999,Assumptions!$F$64),H40-H43,0)</f>
        <v>0</v>
      </c>
      <c r="I44" s="14" t="n">
        <f aca="false">IF(I$5=IF('Unit Economics'!$F$41=1,9999,Assumptions!$F$64),I40-I43,0)</f>
        <v>0</v>
      </c>
      <c r="J44" s="14" t="n">
        <f aca="false">IF(J$5=IF('Unit Economics'!$F$41=1,9999,Assumptions!$F$64),J40-J43,0)</f>
        <v>0</v>
      </c>
      <c r="K44" s="14" t="n">
        <f aca="false">IF(K$5=IF('Unit Economics'!$F$41=1,9999,Assumptions!$F$64),K40-K43,0)</f>
        <v>0</v>
      </c>
      <c r="L44" s="14" t="n">
        <f aca="false">IF(L$5=IF('Unit Economics'!$F$41=1,9999,Assumptions!$F$64),L40-L43,0)</f>
        <v>0</v>
      </c>
    </row>
    <row r="45" customFormat="false" ht="15" hidden="false" customHeight="false" outlineLevel="0" collapsed="false">
      <c r="A45" s="6" t="s">
        <v>338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339</v>
      </c>
      <c r="C46" s="14" t="n">
        <f aca="false">IF(AND(C$5&gt;=$B$36,C$5&lt;IF('Unit Economics'!$F$41=1,9999,Assumptions!$F$64)),$B$37*(1-Assumptions!$F$74)^(C$5-$B$36+1),0)</f>
        <v>0</v>
      </c>
      <c r="D46" s="14" t="n">
        <f aca="false">IF(AND(D$5&gt;=$B$36,D$5&lt;IF('Unit Economics'!$F$41=1,9999,Assumptions!$F$64)),$B$37*(1-Assumptions!$F$74)^(D$5-$B$36+1),0)</f>
        <v>0</v>
      </c>
      <c r="E46" s="14" t="n">
        <f aca="false">IF(AND(E$5&gt;=$B$36,E$5&lt;IF('Unit Economics'!$F$41=1,9999,Assumptions!$F$64)),$B$37*(1-Assumptions!$F$74)^(E$5-$B$36+1),0)</f>
        <v>0</v>
      </c>
      <c r="F46" s="14" t="n">
        <f aca="false">IF(AND(F$5&gt;=$B$36,F$5&lt;IF('Unit Economics'!$F$41=1,9999,Assumptions!$F$64)),$B$37*(1-Assumptions!$F$74)^(F$5-$B$36+1),0)</f>
        <v>0</v>
      </c>
      <c r="G46" s="14" t="n">
        <f aca="false">IF(AND(G$5&gt;=$B$36,G$5&lt;IF('Unit Economics'!$F$41=1,9999,Assumptions!$F$64)),$B$37*(1-Assumptions!$F$74)^(G$5-$B$36+1),0)</f>
        <v>0</v>
      </c>
      <c r="H46" s="14" t="n">
        <f aca="false">IF(AND(H$5&gt;=$B$36,H$5&lt;IF('Unit Economics'!$F$41=1,9999,Assumptions!$F$64)),$B$37*(1-Assumptions!$F$74)^(H$5-$B$36+1),0)</f>
        <v>0</v>
      </c>
      <c r="I46" s="14" t="n">
        <f aca="false">IF(AND(I$5&gt;=$B$36,I$5&lt;IF('Unit Economics'!$F$41=1,9999,Assumptions!$F$64)),$B$37*(1-Assumptions!$F$74)^(I$5-$B$36+1),0)</f>
        <v>0</v>
      </c>
      <c r="J46" s="14" t="n">
        <f aca="false">IF(AND(J$5&gt;=$B$36,J$5&lt;IF('Unit Economics'!$F$41=1,9999,Assumptions!$F$64)),$B$37*(1-Assumptions!$F$74)^(J$5-$B$36+1),0)</f>
        <v>0</v>
      </c>
      <c r="K46" s="14" t="n">
        <f aca="false">IF(AND(K$5&gt;=$B$36,K$5&lt;IF('Unit Economics'!$F$41=1,9999,Assumptions!$F$64)),$B$37*(1-Assumptions!$F$74)^(K$5-$B$36+1),0)</f>
        <v>0</v>
      </c>
      <c r="L46" s="14" t="n">
        <f aca="false">IF(AND(L$5&gt;=$B$36,L$5&lt;IF('Unit Economics'!$F$41=1,9999,Assumptions!$F$64)),$B$37*(1-Assumptions!$F$74)^(L$5-$B$36+1),0)</f>
        <v>0</v>
      </c>
    </row>
    <row r="47" customFormat="false" ht="15" hidden="false" customHeight="false" outlineLevel="0" collapsed="false">
      <c r="A47" s="6" t="s">
        <v>340</v>
      </c>
      <c r="C47" s="14" t="n">
        <f aca="false">IF(AND(C$5=IF('Unit Economics'!$F$41=1,9999,Assumptions!$F$64),C$5&gt;=$B$36),$B$37*(1-Assumptions!$F$74)^(C$5-$B$36+0.5)*(1-Assumptions!$F$73),0)</f>
        <v>0</v>
      </c>
      <c r="D47" s="14" t="n">
        <f aca="false">IF(AND(D$5=IF('Unit Economics'!$F$41=1,9999,Assumptions!$F$64),D$5&gt;=$B$36),$B$37*(1-Assumptions!$F$74)^(D$5-$B$36+0.5)*(1-Assumptions!$F$73),0)</f>
        <v>0</v>
      </c>
      <c r="E47" s="14" t="n">
        <f aca="false">IF(AND(E$5=IF('Unit Economics'!$F$41=1,9999,Assumptions!$F$64),E$5&gt;=$B$36),$B$37*(1-Assumptions!$F$74)^(E$5-$B$36+0.5)*(1-Assumptions!$F$73),0)</f>
        <v>0</v>
      </c>
      <c r="F47" s="14" t="n">
        <f aca="false">IF(AND(F$5=IF('Unit Economics'!$F$41=1,9999,Assumptions!$F$64),F$5&gt;=$B$36),$B$37*(1-Assumptions!$F$74)^(F$5-$B$36+0.5)*(1-Assumptions!$F$73),0)</f>
        <v>0</v>
      </c>
      <c r="G47" s="14" t="n">
        <f aca="false">IF(AND(G$5=IF('Unit Economics'!$F$41=1,9999,Assumptions!$F$64),G$5&gt;=$B$36),$B$37*(1-Assumptions!$F$74)^(G$5-$B$36+0.5)*(1-Assumptions!$F$73),0)</f>
        <v>0</v>
      </c>
      <c r="H47" s="14" t="n">
        <f aca="false">IF(AND(H$5=IF('Unit Economics'!$F$41=1,9999,Assumptions!$F$64),H$5&gt;=$B$36),$B$37*(1-Assumptions!$F$74)^(H$5-$B$36+0.5)*(1-Assumptions!$F$73),0)</f>
        <v>0</v>
      </c>
      <c r="I47" s="14" t="n">
        <f aca="false">IF(AND(I$5=IF('Unit Economics'!$F$41=1,9999,Assumptions!$F$64),I$5&gt;=$B$36),$B$37*(1-Assumptions!$F$74)^(I$5-$B$36+0.5)*(1-Assumptions!$F$73),0)</f>
        <v>0</v>
      </c>
      <c r="J47" s="14" t="n">
        <f aca="false">IF(AND(J$5=IF('Unit Economics'!$F$41=1,9999,Assumptions!$F$64),J$5&gt;=$B$36),$B$37*(1-Assumptions!$F$74)^(J$5-$B$36+0.5)*(1-Assumptions!$F$73),0)</f>
        <v>0</v>
      </c>
      <c r="K47" s="14" t="n">
        <f aca="false">IF(AND(K$5=IF('Unit Economics'!$F$41=1,9999,Assumptions!$F$64),K$5&gt;=$B$36),$B$37*(1-Assumptions!$F$74)^(K$5-$B$36+0.5)*(1-Assumptions!$F$73),0)</f>
        <v>0</v>
      </c>
      <c r="L47" s="14" t="n">
        <f aca="false">IF(AND(L$5=IF('Unit Economics'!$F$41=1,9999,Assumptions!$F$64),L$5&gt;=$B$36),$B$37*(1-Assumptions!$F$74)^(L$5-$B$36+0.5)*(1-Assumptions!$F$73),0)</f>
        <v>0</v>
      </c>
    </row>
    <row r="49" customFormat="false" ht="15" hidden="false" customHeight="false" outlineLevel="0" collapsed="false">
      <c r="A49" s="17" t="s">
        <v>343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330</v>
      </c>
      <c r="B50" s="42" t="n">
        <f aca="false">2027+COUNTIF('Fleet Plan'!$C$14:$L$14,"&lt;4")</f>
        <v>2037</v>
      </c>
    </row>
    <row r="51" customFormat="false" ht="15" hidden="false" customHeight="false" outlineLevel="0" collapsed="false">
      <c r="A51" s="6" t="s">
        <v>331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274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332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333</v>
      </c>
      <c r="C54" s="14" t="n">
        <f aca="false">IF(C$5=$B$50,$B$52,IF(AND(C$5&gt;$B$50,C$5&lt;=IF('Unit Economics'!$F$41=1,9999,Assumptions!$F$64)),0,0))</f>
        <v>0</v>
      </c>
      <c r="D54" s="14" t="n">
        <f aca="false">IF(D$5=$B$50,$B$52,IF(AND(D$5&gt;$B$50,D$5&lt;=IF('Unit Economics'!$F$41=1,9999,Assumptions!$F$64)),C59,0))</f>
        <v>0</v>
      </c>
      <c r="E54" s="14" t="n">
        <f aca="false">IF(E$5=$B$50,$B$52,IF(AND(E$5&gt;$B$50,E$5&lt;=IF('Unit Economics'!$F$41=1,9999,Assumptions!$F$64)),D59,0))</f>
        <v>0</v>
      </c>
      <c r="F54" s="14" t="n">
        <f aca="false">IF(F$5=$B$50,$B$52,IF(AND(F$5&gt;$B$50,F$5&lt;=IF('Unit Economics'!$F$41=1,9999,Assumptions!$F$64)),E59,0))</f>
        <v>0</v>
      </c>
      <c r="G54" s="14" t="n">
        <f aca="false">IF(G$5=$B$50,$B$52,IF(AND(G$5&gt;$B$50,G$5&lt;=IF('Unit Economics'!$F$41=1,9999,Assumptions!$F$64)),F59,0))</f>
        <v>0</v>
      </c>
      <c r="H54" s="14" t="n">
        <f aca="false">IF(H$5=$B$50,$B$52,IF(AND(H$5&gt;$B$50,H$5&lt;=IF('Unit Economics'!$F$41=1,9999,Assumptions!$F$64)),G59,0))</f>
        <v>0</v>
      </c>
      <c r="I54" s="14" t="n">
        <f aca="false">IF(I$5=$B$50,$B$52,IF(AND(I$5&gt;$B$50,I$5&lt;=IF('Unit Economics'!$F$41=1,9999,Assumptions!$F$64)),H59,0))</f>
        <v>0</v>
      </c>
      <c r="J54" s="14" t="n">
        <f aca="false">IF(J$5=$B$50,$B$52,IF(AND(J$5&gt;$B$50,J$5&lt;=IF('Unit Economics'!$F$41=1,9999,Assumptions!$F$64)),I59,0))</f>
        <v>0</v>
      </c>
      <c r="K54" s="14" t="n">
        <f aca="false">IF(K$5=$B$50,$B$52,IF(AND(K$5&gt;$B$50,K$5&lt;=IF('Unit Economics'!$F$41=1,9999,Assumptions!$F$64)),J59,0))</f>
        <v>0</v>
      </c>
      <c r="L54" s="14" t="n">
        <f aca="false">IF(L$5=$B$50,$B$52,IF(AND(L$5&gt;$B$50,L$5&lt;=IF('Unit Economics'!$F$41=1,9999,Assumptions!$F$64)),K59,0))</f>
        <v>0</v>
      </c>
    </row>
    <row r="55" customFormat="false" ht="15" hidden="false" customHeight="false" outlineLevel="0" collapsed="false">
      <c r="A55" s="6" t="s">
        <v>334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335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336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337</v>
      </c>
      <c r="C58" s="14" t="n">
        <f aca="false">IF(C$5=IF('Unit Economics'!$F$41=1,9999,Assumptions!$F$64),C54-C57,0)</f>
        <v>0</v>
      </c>
      <c r="D58" s="14" t="n">
        <f aca="false">IF(D$5=IF('Unit Economics'!$F$41=1,9999,Assumptions!$F$64),D54-D57,0)</f>
        <v>0</v>
      </c>
      <c r="E58" s="14" t="n">
        <f aca="false">IF(E$5=IF('Unit Economics'!$F$41=1,9999,Assumptions!$F$64),E54-E57,0)</f>
        <v>0</v>
      </c>
      <c r="F58" s="14" t="n">
        <f aca="false">IF(F$5=IF('Unit Economics'!$F$41=1,9999,Assumptions!$F$64),F54-F57,0)</f>
        <v>0</v>
      </c>
      <c r="G58" s="14" t="n">
        <f aca="false">IF(G$5=IF('Unit Economics'!$F$41=1,9999,Assumptions!$F$64),G54-G57,0)</f>
        <v>0</v>
      </c>
      <c r="H58" s="14" t="n">
        <f aca="false">IF(H$5=IF('Unit Economics'!$F$41=1,9999,Assumptions!$F$64),H54-H57,0)</f>
        <v>0</v>
      </c>
      <c r="I58" s="14" t="n">
        <f aca="false">IF(I$5=IF('Unit Economics'!$F$41=1,9999,Assumptions!$F$64),I54-I57,0)</f>
        <v>0</v>
      </c>
      <c r="J58" s="14" t="n">
        <f aca="false">IF(J$5=IF('Unit Economics'!$F$41=1,9999,Assumptions!$F$64),J54-J57,0)</f>
        <v>0</v>
      </c>
      <c r="K58" s="14" t="n">
        <f aca="false">IF(K$5=IF('Unit Economics'!$F$41=1,9999,Assumptions!$F$64),K54-K57,0)</f>
        <v>0</v>
      </c>
      <c r="L58" s="14" t="n">
        <f aca="false">IF(L$5=IF('Unit Economics'!$F$41=1,9999,Assumptions!$F$64),L54-L57,0)</f>
        <v>0</v>
      </c>
    </row>
    <row r="59" customFormat="false" ht="15" hidden="false" customHeight="false" outlineLevel="0" collapsed="false">
      <c r="A59" s="6" t="s">
        <v>338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339</v>
      </c>
      <c r="C60" s="14" t="n">
        <f aca="false">IF(AND(C$5&gt;=$B$50,C$5&lt;IF('Unit Economics'!$F$41=1,9999,Assumptions!$F$64)),$B$51*(1-Assumptions!$F$74)^(C$5-$B$50+1),0)</f>
        <v>0</v>
      </c>
      <c r="D60" s="14" t="n">
        <f aca="false">IF(AND(D$5&gt;=$B$50,D$5&lt;IF('Unit Economics'!$F$41=1,9999,Assumptions!$F$64)),$B$51*(1-Assumptions!$F$74)^(D$5-$B$50+1),0)</f>
        <v>0</v>
      </c>
      <c r="E60" s="14" t="n">
        <f aca="false">IF(AND(E$5&gt;=$B$50,E$5&lt;IF('Unit Economics'!$F$41=1,9999,Assumptions!$F$64)),$B$51*(1-Assumptions!$F$74)^(E$5-$B$50+1),0)</f>
        <v>0</v>
      </c>
      <c r="F60" s="14" t="n">
        <f aca="false">IF(AND(F$5&gt;=$B$50,F$5&lt;IF('Unit Economics'!$F$41=1,9999,Assumptions!$F$64)),$B$51*(1-Assumptions!$F$74)^(F$5-$B$50+1),0)</f>
        <v>0</v>
      </c>
      <c r="G60" s="14" t="n">
        <f aca="false">IF(AND(G$5&gt;=$B$50,G$5&lt;IF('Unit Economics'!$F$41=1,9999,Assumptions!$F$64)),$B$51*(1-Assumptions!$F$74)^(G$5-$B$50+1),0)</f>
        <v>0</v>
      </c>
      <c r="H60" s="14" t="n">
        <f aca="false">IF(AND(H$5&gt;=$B$50,H$5&lt;IF('Unit Economics'!$F$41=1,9999,Assumptions!$F$64)),$B$51*(1-Assumptions!$F$74)^(H$5-$B$50+1),0)</f>
        <v>0</v>
      </c>
      <c r="I60" s="14" t="n">
        <f aca="false">IF(AND(I$5&gt;=$B$50,I$5&lt;IF('Unit Economics'!$F$41=1,9999,Assumptions!$F$64)),$B$51*(1-Assumptions!$F$74)^(I$5-$B$50+1),0)</f>
        <v>0</v>
      </c>
      <c r="J60" s="14" t="n">
        <f aca="false">IF(AND(J$5&gt;=$B$50,J$5&lt;IF('Unit Economics'!$F$41=1,9999,Assumptions!$F$64)),$B$51*(1-Assumptions!$F$74)^(J$5-$B$50+1),0)</f>
        <v>0</v>
      </c>
      <c r="K60" s="14" t="n">
        <f aca="false">IF(AND(K$5&gt;=$B$50,K$5&lt;IF('Unit Economics'!$F$41=1,9999,Assumptions!$F$64)),$B$51*(1-Assumptions!$F$74)^(K$5-$B$50+1),0)</f>
        <v>0</v>
      </c>
      <c r="L60" s="14" t="n">
        <f aca="false">IF(AND(L$5&gt;=$B$50,L$5&lt;IF('Unit Economics'!$F$41=1,9999,Assumptions!$F$64)),$B$51*(1-Assumptions!$F$74)^(L$5-$B$50+1),0)</f>
        <v>0</v>
      </c>
    </row>
    <row r="61" customFormat="false" ht="15" hidden="false" customHeight="false" outlineLevel="0" collapsed="false">
      <c r="A61" s="6" t="s">
        <v>340</v>
      </c>
      <c r="C61" s="14" t="n">
        <f aca="false">IF(AND(C$5=IF('Unit Economics'!$F$41=1,9999,Assumptions!$F$64),C$5&gt;=$B$50),$B$51*(1-Assumptions!$F$74)^(C$5-$B$50+0.5)*(1-Assumptions!$F$73),0)</f>
        <v>0</v>
      </c>
      <c r="D61" s="14" t="n">
        <f aca="false">IF(AND(D$5=IF('Unit Economics'!$F$41=1,9999,Assumptions!$F$64),D$5&gt;=$B$50),$B$51*(1-Assumptions!$F$74)^(D$5-$B$50+0.5)*(1-Assumptions!$F$73),0)</f>
        <v>0</v>
      </c>
      <c r="E61" s="14" t="n">
        <f aca="false">IF(AND(E$5=IF('Unit Economics'!$F$41=1,9999,Assumptions!$F$64),E$5&gt;=$B$50),$B$51*(1-Assumptions!$F$74)^(E$5-$B$50+0.5)*(1-Assumptions!$F$73),0)</f>
        <v>0</v>
      </c>
      <c r="F61" s="14" t="n">
        <f aca="false">IF(AND(F$5=IF('Unit Economics'!$F$41=1,9999,Assumptions!$F$64),F$5&gt;=$B$50),$B$51*(1-Assumptions!$F$74)^(F$5-$B$50+0.5)*(1-Assumptions!$F$73),0)</f>
        <v>0</v>
      </c>
      <c r="G61" s="14" t="n">
        <f aca="false">IF(AND(G$5=IF('Unit Economics'!$F$41=1,9999,Assumptions!$F$64),G$5&gt;=$B$50),$B$51*(1-Assumptions!$F$74)^(G$5-$B$50+0.5)*(1-Assumptions!$F$73),0)</f>
        <v>0</v>
      </c>
      <c r="H61" s="14" t="n">
        <f aca="false">IF(AND(H$5=IF('Unit Economics'!$F$41=1,9999,Assumptions!$F$64),H$5&gt;=$B$50),$B$51*(1-Assumptions!$F$74)^(H$5-$B$50+0.5)*(1-Assumptions!$F$73),0)</f>
        <v>0</v>
      </c>
      <c r="I61" s="14" t="n">
        <f aca="false">IF(AND(I$5=IF('Unit Economics'!$F$41=1,9999,Assumptions!$F$64),I$5&gt;=$B$50),$B$51*(1-Assumptions!$F$74)^(I$5-$B$50+0.5)*(1-Assumptions!$F$73),0)</f>
        <v>0</v>
      </c>
      <c r="J61" s="14" t="n">
        <f aca="false">IF(AND(J$5=IF('Unit Economics'!$F$41=1,9999,Assumptions!$F$64),J$5&gt;=$B$50),$B$51*(1-Assumptions!$F$74)^(J$5-$B$50+0.5)*(1-Assumptions!$F$73),0)</f>
        <v>0</v>
      </c>
      <c r="K61" s="14" t="n">
        <f aca="false">IF(AND(K$5=IF('Unit Economics'!$F$41=1,9999,Assumptions!$F$64),K$5&gt;=$B$50),$B$51*(1-Assumptions!$F$74)^(K$5-$B$50+0.5)*(1-Assumptions!$F$73),0)</f>
        <v>0</v>
      </c>
      <c r="L61" s="14" t="n">
        <f aca="false">IF(AND(L$5=IF('Unit Economics'!$F$41=1,9999,Assumptions!$F$64),L$5&gt;=$B$50),$B$51*(1-Assumptions!$F$74)^(L$5-$B$50+0.5)*(1-Assumptions!$F$73),0)</f>
        <v>0</v>
      </c>
    </row>
    <row r="63" customFormat="false" ht="15" hidden="false" customHeight="false" outlineLevel="0" collapsed="false">
      <c r="A63" s="17" t="s">
        <v>344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330</v>
      </c>
      <c r="B64" s="42" t="n">
        <f aca="false">2027+COUNTIF('Fleet Plan'!$C$14:$L$14,"&lt;5")</f>
        <v>2037</v>
      </c>
    </row>
    <row r="65" customFormat="false" ht="15" hidden="false" customHeight="false" outlineLevel="0" collapsed="false">
      <c r="A65" s="6" t="s">
        <v>331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274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332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333</v>
      </c>
      <c r="C68" s="14" t="n">
        <f aca="false">IF(C$5=$B$64,$B$66,IF(AND(C$5&gt;$B$64,C$5&lt;=IF('Unit Economics'!$F$41=1,9999,Assumptions!$F$64)),0,0))</f>
        <v>0</v>
      </c>
      <c r="D68" s="14" t="n">
        <f aca="false">IF(D$5=$B$64,$B$66,IF(AND(D$5&gt;$B$64,D$5&lt;=IF('Unit Economics'!$F$41=1,9999,Assumptions!$F$64)),C73,0))</f>
        <v>0</v>
      </c>
      <c r="E68" s="14" t="n">
        <f aca="false">IF(E$5=$B$64,$B$66,IF(AND(E$5&gt;$B$64,E$5&lt;=IF('Unit Economics'!$F$41=1,9999,Assumptions!$F$64)),D73,0))</f>
        <v>0</v>
      </c>
      <c r="F68" s="14" t="n">
        <f aca="false">IF(F$5=$B$64,$B$66,IF(AND(F$5&gt;$B$64,F$5&lt;=IF('Unit Economics'!$F$41=1,9999,Assumptions!$F$64)),E73,0))</f>
        <v>0</v>
      </c>
      <c r="G68" s="14" t="n">
        <f aca="false">IF(G$5=$B$64,$B$66,IF(AND(G$5&gt;$B$64,G$5&lt;=IF('Unit Economics'!$F$41=1,9999,Assumptions!$F$64)),F73,0))</f>
        <v>0</v>
      </c>
      <c r="H68" s="14" t="n">
        <f aca="false">IF(H$5=$B$64,$B$66,IF(AND(H$5&gt;$B$64,H$5&lt;=IF('Unit Economics'!$F$41=1,9999,Assumptions!$F$64)),G73,0))</f>
        <v>0</v>
      </c>
      <c r="I68" s="14" t="n">
        <f aca="false">IF(I$5=$B$64,$B$66,IF(AND(I$5&gt;$B$64,I$5&lt;=IF('Unit Economics'!$F$41=1,9999,Assumptions!$F$64)),H73,0))</f>
        <v>0</v>
      </c>
      <c r="J68" s="14" t="n">
        <f aca="false">IF(J$5=$B$64,$B$66,IF(AND(J$5&gt;$B$64,J$5&lt;=IF('Unit Economics'!$F$41=1,9999,Assumptions!$F$64)),I73,0))</f>
        <v>0</v>
      </c>
      <c r="K68" s="14" t="n">
        <f aca="false">IF(K$5=$B$64,$B$66,IF(AND(K$5&gt;$B$64,K$5&lt;=IF('Unit Economics'!$F$41=1,9999,Assumptions!$F$64)),J73,0))</f>
        <v>0</v>
      </c>
      <c r="L68" s="14" t="n">
        <f aca="false">IF(L$5=$B$64,$B$66,IF(AND(L$5&gt;$B$64,L$5&lt;=IF('Unit Economics'!$F$41=1,9999,Assumptions!$F$64)),K73,0))</f>
        <v>0</v>
      </c>
    </row>
    <row r="69" customFormat="false" ht="15" hidden="false" customHeight="false" outlineLevel="0" collapsed="false">
      <c r="A69" s="6" t="s">
        <v>334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335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336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337</v>
      </c>
      <c r="C72" s="14" t="n">
        <f aca="false">IF(C$5=IF('Unit Economics'!$F$41=1,9999,Assumptions!$F$64),C68-C71,0)</f>
        <v>0</v>
      </c>
      <c r="D72" s="14" t="n">
        <f aca="false">IF(D$5=IF('Unit Economics'!$F$41=1,9999,Assumptions!$F$64),D68-D71,0)</f>
        <v>0</v>
      </c>
      <c r="E72" s="14" t="n">
        <f aca="false">IF(E$5=IF('Unit Economics'!$F$41=1,9999,Assumptions!$F$64),E68-E71,0)</f>
        <v>0</v>
      </c>
      <c r="F72" s="14" t="n">
        <f aca="false">IF(F$5=IF('Unit Economics'!$F$41=1,9999,Assumptions!$F$64),F68-F71,0)</f>
        <v>0</v>
      </c>
      <c r="G72" s="14" t="n">
        <f aca="false">IF(G$5=IF('Unit Economics'!$F$41=1,9999,Assumptions!$F$64),G68-G71,0)</f>
        <v>0</v>
      </c>
      <c r="H72" s="14" t="n">
        <f aca="false">IF(H$5=IF('Unit Economics'!$F$41=1,9999,Assumptions!$F$64),H68-H71,0)</f>
        <v>0</v>
      </c>
      <c r="I72" s="14" t="n">
        <f aca="false">IF(I$5=IF('Unit Economics'!$F$41=1,9999,Assumptions!$F$64),I68-I71,0)</f>
        <v>0</v>
      </c>
      <c r="J72" s="14" t="n">
        <f aca="false">IF(J$5=IF('Unit Economics'!$F$41=1,9999,Assumptions!$F$64),J68-J71,0)</f>
        <v>0</v>
      </c>
      <c r="K72" s="14" t="n">
        <f aca="false">IF(K$5=IF('Unit Economics'!$F$41=1,9999,Assumptions!$F$64),K68-K71,0)</f>
        <v>0</v>
      </c>
      <c r="L72" s="14" t="n">
        <f aca="false">IF(L$5=IF('Unit Economics'!$F$41=1,9999,Assumptions!$F$64),L68-L71,0)</f>
        <v>0</v>
      </c>
    </row>
    <row r="73" customFormat="false" ht="15" hidden="false" customHeight="false" outlineLevel="0" collapsed="false">
      <c r="A73" s="6" t="s">
        <v>338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339</v>
      </c>
      <c r="C74" s="14" t="n">
        <f aca="false">IF(AND(C$5&gt;=$B$64,C$5&lt;IF('Unit Economics'!$F$41=1,9999,Assumptions!$F$64)),$B$65*(1-Assumptions!$F$74)^(C$5-$B$64+1),0)</f>
        <v>0</v>
      </c>
      <c r="D74" s="14" t="n">
        <f aca="false">IF(AND(D$5&gt;=$B$64,D$5&lt;IF('Unit Economics'!$F$41=1,9999,Assumptions!$F$64)),$B$65*(1-Assumptions!$F$74)^(D$5-$B$64+1),0)</f>
        <v>0</v>
      </c>
      <c r="E74" s="14" t="n">
        <f aca="false">IF(AND(E$5&gt;=$B$64,E$5&lt;IF('Unit Economics'!$F$41=1,9999,Assumptions!$F$64)),$B$65*(1-Assumptions!$F$74)^(E$5-$B$64+1),0)</f>
        <v>0</v>
      </c>
      <c r="F74" s="14" t="n">
        <f aca="false">IF(AND(F$5&gt;=$B$64,F$5&lt;IF('Unit Economics'!$F$41=1,9999,Assumptions!$F$64)),$B$65*(1-Assumptions!$F$74)^(F$5-$B$64+1),0)</f>
        <v>0</v>
      </c>
      <c r="G74" s="14" t="n">
        <f aca="false">IF(AND(G$5&gt;=$B$64,G$5&lt;IF('Unit Economics'!$F$41=1,9999,Assumptions!$F$64)),$B$65*(1-Assumptions!$F$74)^(G$5-$B$64+1),0)</f>
        <v>0</v>
      </c>
      <c r="H74" s="14" t="n">
        <f aca="false">IF(AND(H$5&gt;=$B$64,H$5&lt;IF('Unit Economics'!$F$41=1,9999,Assumptions!$F$64)),$B$65*(1-Assumptions!$F$74)^(H$5-$B$64+1),0)</f>
        <v>0</v>
      </c>
      <c r="I74" s="14" t="n">
        <f aca="false">IF(AND(I$5&gt;=$B$64,I$5&lt;IF('Unit Economics'!$F$41=1,9999,Assumptions!$F$64)),$B$65*(1-Assumptions!$F$74)^(I$5-$B$64+1),0)</f>
        <v>0</v>
      </c>
      <c r="J74" s="14" t="n">
        <f aca="false">IF(AND(J$5&gt;=$B$64,J$5&lt;IF('Unit Economics'!$F$41=1,9999,Assumptions!$F$64)),$B$65*(1-Assumptions!$F$74)^(J$5-$B$64+1),0)</f>
        <v>0</v>
      </c>
      <c r="K74" s="14" t="n">
        <f aca="false">IF(AND(K$5&gt;=$B$64,K$5&lt;IF('Unit Economics'!$F$41=1,9999,Assumptions!$F$64)),$B$65*(1-Assumptions!$F$74)^(K$5-$B$64+1),0)</f>
        <v>0</v>
      </c>
      <c r="L74" s="14" t="n">
        <f aca="false">IF(AND(L$5&gt;=$B$64,L$5&lt;IF('Unit Economics'!$F$41=1,9999,Assumptions!$F$64)),$B$65*(1-Assumptions!$F$74)^(L$5-$B$64+1),0)</f>
        <v>0</v>
      </c>
    </row>
    <row r="75" customFormat="false" ht="15" hidden="false" customHeight="false" outlineLevel="0" collapsed="false">
      <c r="A75" s="6" t="s">
        <v>340</v>
      </c>
      <c r="C75" s="14" t="n">
        <f aca="false">IF(AND(C$5=IF('Unit Economics'!$F$41=1,9999,Assumptions!$F$64),C$5&gt;=$B$64),$B$65*(1-Assumptions!$F$74)^(C$5-$B$64+0.5)*(1-Assumptions!$F$73),0)</f>
        <v>0</v>
      </c>
      <c r="D75" s="14" t="n">
        <f aca="false">IF(AND(D$5=IF('Unit Economics'!$F$41=1,9999,Assumptions!$F$64),D$5&gt;=$B$64),$B$65*(1-Assumptions!$F$74)^(D$5-$B$64+0.5)*(1-Assumptions!$F$73),0)</f>
        <v>0</v>
      </c>
      <c r="E75" s="14" t="n">
        <f aca="false">IF(AND(E$5=IF('Unit Economics'!$F$41=1,9999,Assumptions!$F$64),E$5&gt;=$B$64),$B$65*(1-Assumptions!$F$74)^(E$5-$B$64+0.5)*(1-Assumptions!$F$73),0)</f>
        <v>0</v>
      </c>
      <c r="F75" s="14" t="n">
        <f aca="false">IF(AND(F$5=IF('Unit Economics'!$F$41=1,9999,Assumptions!$F$64),F$5&gt;=$B$64),$B$65*(1-Assumptions!$F$74)^(F$5-$B$64+0.5)*(1-Assumptions!$F$73),0)</f>
        <v>0</v>
      </c>
      <c r="G75" s="14" t="n">
        <f aca="false">IF(AND(G$5=IF('Unit Economics'!$F$41=1,9999,Assumptions!$F$64),G$5&gt;=$B$64),$B$65*(1-Assumptions!$F$74)^(G$5-$B$64+0.5)*(1-Assumptions!$F$73),0)</f>
        <v>0</v>
      </c>
      <c r="H75" s="14" t="n">
        <f aca="false">IF(AND(H$5=IF('Unit Economics'!$F$41=1,9999,Assumptions!$F$64),H$5&gt;=$B$64),$B$65*(1-Assumptions!$F$74)^(H$5-$B$64+0.5)*(1-Assumptions!$F$73),0)</f>
        <v>0</v>
      </c>
      <c r="I75" s="14" t="n">
        <f aca="false">IF(AND(I$5=IF('Unit Economics'!$F$41=1,9999,Assumptions!$F$64),I$5&gt;=$B$64),$B$65*(1-Assumptions!$F$74)^(I$5-$B$64+0.5)*(1-Assumptions!$F$73),0)</f>
        <v>0</v>
      </c>
      <c r="J75" s="14" t="n">
        <f aca="false">IF(AND(J$5=IF('Unit Economics'!$F$41=1,9999,Assumptions!$F$64),J$5&gt;=$B$64),$B$65*(1-Assumptions!$F$74)^(J$5-$B$64+0.5)*(1-Assumptions!$F$73),0)</f>
        <v>0</v>
      </c>
      <c r="K75" s="14" t="n">
        <f aca="false">IF(AND(K$5=IF('Unit Economics'!$F$41=1,9999,Assumptions!$F$64),K$5&gt;=$B$64),$B$65*(1-Assumptions!$F$74)^(K$5-$B$64+0.5)*(1-Assumptions!$F$73),0)</f>
        <v>0</v>
      </c>
      <c r="L75" s="14" t="n">
        <f aca="false">IF(AND(L$5=IF('Unit Economics'!$F$41=1,9999,Assumptions!$F$64),L$5&gt;=$B$64),$B$65*(1-Assumptions!$F$74)^(L$5-$B$64+0.5)*(1-Assumptions!$F$73),0)</f>
        <v>0</v>
      </c>
    </row>
    <row r="77" customFormat="false" ht="15" hidden="false" customHeight="false" outlineLevel="0" collapsed="false">
      <c r="A77" s="17" t="s">
        <v>345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330</v>
      </c>
      <c r="B78" s="42" t="n">
        <f aca="false">2027+COUNTIF('Fleet Plan'!$C$14:$L$14,"&lt;6")</f>
        <v>2037</v>
      </c>
    </row>
    <row r="79" customFormat="false" ht="15" hidden="false" customHeight="false" outlineLevel="0" collapsed="false">
      <c r="A79" s="6" t="s">
        <v>331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274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332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333</v>
      </c>
      <c r="C82" s="14" t="n">
        <f aca="false">IF(C$5=$B$78,$B$80,IF(AND(C$5&gt;$B$78,C$5&lt;=IF('Unit Economics'!$F$41=1,9999,Assumptions!$F$64)),0,0))</f>
        <v>0</v>
      </c>
      <c r="D82" s="14" t="n">
        <f aca="false">IF(D$5=$B$78,$B$80,IF(AND(D$5&gt;$B$78,D$5&lt;=IF('Unit Economics'!$F$41=1,9999,Assumptions!$F$64)),C87,0))</f>
        <v>0</v>
      </c>
      <c r="E82" s="14" t="n">
        <f aca="false">IF(E$5=$B$78,$B$80,IF(AND(E$5&gt;$B$78,E$5&lt;=IF('Unit Economics'!$F$41=1,9999,Assumptions!$F$64)),D87,0))</f>
        <v>0</v>
      </c>
      <c r="F82" s="14" t="n">
        <f aca="false">IF(F$5=$B$78,$B$80,IF(AND(F$5&gt;$B$78,F$5&lt;=IF('Unit Economics'!$F$41=1,9999,Assumptions!$F$64)),E87,0))</f>
        <v>0</v>
      </c>
      <c r="G82" s="14" t="n">
        <f aca="false">IF(G$5=$B$78,$B$80,IF(AND(G$5&gt;$B$78,G$5&lt;=IF('Unit Economics'!$F$41=1,9999,Assumptions!$F$64)),F87,0))</f>
        <v>0</v>
      </c>
      <c r="H82" s="14" t="n">
        <f aca="false">IF(H$5=$B$78,$B$80,IF(AND(H$5&gt;$B$78,H$5&lt;=IF('Unit Economics'!$F$41=1,9999,Assumptions!$F$64)),G87,0))</f>
        <v>0</v>
      </c>
      <c r="I82" s="14" t="n">
        <f aca="false">IF(I$5=$B$78,$B$80,IF(AND(I$5&gt;$B$78,I$5&lt;=IF('Unit Economics'!$F$41=1,9999,Assumptions!$F$64)),H87,0))</f>
        <v>0</v>
      </c>
      <c r="J82" s="14" t="n">
        <f aca="false">IF(J$5=$B$78,$B$80,IF(AND(J$5&gt;$B$78,J$5&lt;=IF('Unit Economics'!$F$41=1,9999,Assumptions!$F$64)),I87,0))</f>
        <v>0</v>
      </c>
      <c r="K82" s="14" t="n">
        <f aca="false">IF(K$5=$B$78,$B$80,IF(AND(K$5&gt;$B$78,K$5&lt;=IF('Unit Economics'!$F$41=1,9999,Assumptions!$F$64)),J87,0))</f>
        <v>0</v>
      </c>
      <c r="L82" s="14" t="n">
        <f aca="false">IF(L$5=$B$78,$B$80,IF(AND(L$5&gt;$B$78,L$5&lt;=IF('Unit Economics'!$F$41=1,9999,Assumptions!$F$64)),K87,0))</f>
        <v>0</v>
      </c>
    </row>
    <row r="83" customFormat="false" ht="15" hidden="false" customHeight="false" outlineLevel="0" collapsed="false">
      <c r="A83" s="6" t="s">
        <v>334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335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336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337</v>
      </c>
      <c r="C86" s="14" t="n">
        <f aca="false">IF(C$5=IF('Unit Economics'!$F$41=1,9999,Assumptions!$F$64),C82-C85,0)</f>
        <v>0</v>
      </c>
      <c r="D86" s="14" t="n">
        <f aca="false">IF(D$5=IF('Unit Economics'!$F$41=1,9999,Assumptions!$F$64),D82-D85,0)</f>
        <v>0</v>
      </c>
      <c r="E86" s="14" t="n">
        <f aca="false">IF(E$5=IF('Unit Economics'!$F$41=1,9999,Assumptions!$F$64),E82-E85,0)</f>
        <v>0</v>
      </c>
      <c r="F86" s="14" t="n">
        <f aca="false">IF(F$5=IF('Unit Economics'!$F$41=1,9999,Assumptions!$F$64),F82-F85,0)</f>
        <v>0</v>
      </c>
      <c r="G86" s="14" t="n">
        <f aca="false">IF(G$5=IF('Unit Economics'!$F$41=1,9999,Assumptions!$F$64),G82-G85,0)</f>
        <v>0</v>
      </c>
      <c r="H86" s="14" t="n">
        <f aca="false">IF(H$5=IF('Unit Economics'!$F$41=1,9999,Assumptions!$F$64),H82-H85,0)</f>
        <v>0</v>
      </c>
      <c r="I86" s="14" t="n">
        <f aca="false">IF(I$5=IF('Unit Economics'!$F$41=1,9999,Assumptions!$F$64),I82-I85,0)</f>
        <v>0</v>
      </c>
      <c r="J86" s="14" t="n">
        <f aca="false">IF(J$5=IF('Unit Economics'!$F$41=1,9999,Assumptions!$F$64),J82-J85,0)</f>
        <v>0</v>
      </c>
      <c r="K86" s="14" t="n">
        <f aca="false">IF(K$5=IF('Unit Economics'!$F$41=1,9999,Assumptions!$F$64),K82-K85,0)</f>
        <v>0</v>
      </c>
      <c r="L86" s="14" t="n">
        <f aca="false">IF(L$5=IF('Unit Economics'!$F$41=1,9999,Assumptions!$F$64),L82-L85,0)</f>
        <v>0</v>
      </c>
    </row>
    <row r="87" customFormat="false" ht="15" hidden="false" customHeight="false" outlineLevel="0" collapsed="false">
      <c r="A87" s="6" t="s">
        <v>338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339</v>
      </c>
      <c r="C88" s="14" t="n">
        <f aca="false">IF(AND(C$5&gt;=$B$78,C$5&lt;IF('Unit Economics'!$F$41=1,9999,Assumptions!$F$64)),$B$79*(1-Assumptions!$F$74)^(C$5-$B$78+1),0)</f>
        <v>0</v>
      </c>
      <c r="D88" s="14" t="n">
        <f aca="false">IF(AND(D$5&gt;=$B$78,D$5&lt;IF('Unit Economics'!$F$41=1,9999,Assumptions!$F$64)),$B$79*(1-Assumptions!$F$74)^(D$5-$B$78+1),0)</f>
        <v>0</v>
      </c>
      <c r="E88" s="14" t="n">
        <f aca="false">IF(AND(E$5&gt;=$B$78,E$5&lt;IF('Unit Economics'!$F$41=1,9999,Assumptions!$F$64)),$B$79*(1-Assumptions!$F$74)^(E$5-$B$78+1),0)</f>
        <v>0</v>
      </c>
      <c r="F88" s="14" t="n">
        <f aca="false">IF(AND(F$5&gt;=$B$78,F$5&lt;IF('Unit Economics'!$F$41=1,9999,Assumptions!$F$64)),$B$79*(1-Assumptions!$F$74)^(F$5-$B$78+1),0)</f>
        <v>0</v>
      </c>
      <c r="G88" s="14" t="n">
        <f aca="false">IF(AND(G$5&gt;=$B$78,G$5&lt;IF('Unit Economics'!$F$41=1,9999,Assumptions!$F$64)),$B$79*(1-Assumptions!$F$74)^(G$5-$B$78+1),0)</f>
        <v>0</v>
      </c>
      <c r="H88" s="14" t="n">
        <f aca="false">IF(AND(H$5&gt;=$B$78,H$5&lt;IF('Unit Economics'!$F$41=1,9999,Assumptions!$F$64)),$B$79*(1-Assumptions!$F$74)^(H$5-$B$78+1),0)</f>
        <v>0</v>
      </c>
      <c r="I88" s="14" t="n">
        <f aca="false">IF(AND(I$5&gt;=$B$78,I$5&lt;IF('Unit Economics'!$F$41=1,9999,Assumptions!$F$64)),$B$79*(1-Assumptions!$F$74)^(I$5-$B$78+1),0)</f>
        <v>0</v>
      </c>
      <c r="J88" s="14" t="n">
        <f aca="false">IF(AND(J$5&gt;=$B$78,J$5&lt;IF('Unit Economics'!$F$41=1,9999,Assumptions!$F$64)),$B$79*(1-Assumptions!$F$74)^(J$5-$B$78+1),0)</f>
        <v>0</v>
      </c>
      <c r="K88" s="14" t="n">
        <f aca="false">IF(AND(K$5&gt;=$B$78,K$5&lt;IF('Unit Economics'!$F$41=1,9999,Assumptions!$F$64)),$B$79*(1-Assumptions!$F$74)^(K$5-$B$78+1),0)</f>
        <v>0</v>
      </c>
      <c r="L88" s="14" t="n">
        <f aca="false">IF(AND(L$5&gt;=$B$78,L$5&lt;IF('Unit Economics'!$F$41=1,9999,Assumptions!$F$64)),$B$79*(1-Assumptions!$F$74)^(L$5-$B$78+1),0)</f>
        <v>0</v>
      </c>
    </row>
    <row r="89" customFormat="false" ht="15" hidden="false" customHeight="false" outlineLevel="0" collapsed="false">
      <c r="A89" s="6" t="s">
        <v>340</v>
      </c>
      <c r="C89" s="14" t="n">
        <f aca="false">IF(AND(C$5=IF('Unit Economics'!$F$41=1,9999,Assumptions!$F$64),C$5&gt;=$B$78),$B$79*(1-Assumptions!$F$74)^(C$5-$B$78+0.5)*(1-Assumptions!$F$73),0)</f>
        <v>0</v>
      </c>
      <c r="D89" s="14" t="n">
        <f aca="false">IF(AND(D$5=IF('Unit Economics'!$F$41=1,9999,Assumptions!$F$64),D$5&gt;=$B$78),$B$79*(1-Assumptions!$F$74)^(D$5-$B$78+0.5)*(1-Assumptions!$F$73),0)</f>
        <v>0</v>
      </c>
      <c r="E89" s="14" t="n">
        <f aca="false">IF(AND(E$5=IF('Unit Economics'!$F$41=1,9999,Assumptions!$F$64),E$5&gt;=$B$78),$B$79*(1-Assumptions!$F$74)^(E$5-$B$78+0.5)*(1-Assumptions!$F$73),0)</f>
        <v>0</v>
      </c>
      <c r="F89" s="14" t="n">
        <f aca="false">IF(AND(F$5=IF('Unit Economics'!$F$41=1,9999,Assumptions!$F$64),F$5&gt;=$B$78),$B$79*(1-Assumptions!$F$74)^(F$5-$B$78+0.5)*(1-Assumptions!$F$73),0)</f>
        <v>0</v>
      </c>
      <c r="G89" s="14" t="n">
        <f aca="false">IF(AND(G$5=IF('Unit Economics'!$F$41=1,9999,Assumptions!$F$64),G$5&gt;=$B$78),$B$79*(1-Assumptions!$F$74)^(G$5-$B$78+0.5)*(1-Assumptions!$F$73),0)</f>
        <v>0</v>
      </c>
      <c r="H89" s="14" t="n">
        <f aca="false">IF(AND(H$5=IF('Unit Economics'!$F$41=1,9999,Assumptions!$F$64),H$5&gt;=$B$78),$B$79*(1-Assumptions!$F$74)^(H$5-$B$78+0.5)*(1-Assumptions!$F$73),0)</f>
        <v>0</v>
      </c>
      <c r="I89" s="14" t="n">
        <f aca="false">IF(AND(I$5=IF('Unit Economics'!$F$41=1,9999,Assumptions!$F$64),I$5&gt;=$B$78),$B$79*(1-Assumptions!$F$74)^(I$5-$B$78+0.5)*(1-Assumptions!$F$73),0)</f>
        <v>0</v>
      </c>
      <c r="J89" s="14" t="n">
        <f aca="false">IF(AND(J$5=IF('Unit Economics'!$F$41=1,9999,Assumptions!$F$64),J$5&gt;=$B$78),$B$79*(1-Assumptions!$F$74)^(J$5-$B$78+0.5)*(1-Assumptions!$F$73),0)</f>
        <v>0</v>
      </c>
      <c r="K89" s="14" t="n">
        <f aca="false">IF(AND(K$5=IF('Unit Economics'!$F$41=1,9999,Assumptions!$F$64),K$5&gt;=$B$78),$B$79*(1-Assumptions!$F$74)^(K$5-$B$78+0.5)*(1-Assumptions!$F$73),0)</f>
        <v>0</v>
      </c>
      <c r="L89" s="14" t="n">
        <f aca="false">IF(AND(L$5=IF('Unit Economics'!$F$41=1,9999,Assumptions!$F$64),L$5&gt;=$B$78),$B$79*(1-Assumptions!$F$74)^(L$5-$B$78+0.5)*(1-Assumptions!$F$73),0)</f>
        <v>0</v>
      </c>
    </row>
    <row r="91" customFormat="false" ht="15" hidden="false" customHeight="false" outlineLevel="0" collapsed="false">
      <c r="A91" s="17" t="s">
        <v>346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330</v>
      </c>
      <c r="B92" s="42" t="n">
        <f aca="false">2027+COUNTIF('Fleet Plan'!$C$14:$L$14,"&lt;7")</f>
        <v>2037</v>
      </c>
    </row>
    <row r="93" customFormat="false" ht="15" hidden="false" customHeight="false" outlineLevel="0" collapsed="false">
      <c r="A93" s="6" t="s">
        <v>331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274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332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333</v>
      </c>
      <c r="C96" s="14" t="n">
        <f aca="false">IF(C$5=$B$92,$B$94,IF(AND(C$5&gt;$B$92,C$5&lt;=IF('Unit Economics'!$F$41=1,9999,Assumptions!$F$64)),0,0))</f>
        <v>0</v>
      </c>
      <c r="D96" s="14" t="n">
        <f aca="false">IF(D$5=$B$92,$B$94,IF(AND(D$5&gt;$B$92,D$5&lt;=IF('Unit Economics'!$F$41=1,9999,Assumptions!$F$64)),C101,0))</f>
        <v>0</v>
      </c>
      <c r="E96" s="14" t="n">
        <f aca="false">IF(E$5=$B$92,$B$94,IF(AND(E$5&gt;$B$92,E$5&lt;=IF('Unit Economics'!$F$41=1,9999,Assumptions!$F$64)),D101,0))</f>
        <v>0</v>
      </c>
      <c r="F96" s="14" t="n">
        <f aca="false">IF(F$5=$B$92,$B$94,IF(AND(F$5&gt;$B$92,F$5&lt;=IF('Unit Economics'!$F$41=1,9999,Assumptions!$F$64)),E101,0))</f>
        <v>0</v>
      </c>
      <c r="G96" s="14" t="n">
        <f aca="false">IF(G$5=$B$92,$B$94,IF(AND(G$5&gt;$B$92,G$5&lt;=IF('Unit Economics'!$F$41=1,9999,Assumptions!$F$64)),F101,0))</f>
        <v>0</v>
      </c>
      <c r="H96" s="14" t="n">
        <f aca="false">IF(H$5=$B$92,$B$94,IF(AND(H$5&gt;$B$92,H$5&lt;=IF('Unit Economics'!$F$41=1,9999,Assumptions!$F$64)),G101,0))</f>
        <v>0</v>
      </c>
      <c r="I96" s="14" t="n">
        <f aca="false">IF(I$5=$B$92,$B$94,IF(AND(I$5&gt;$B$92,I$5&lt;=IF('Unit Economics'!$F$41=1,9999,Assumptions!$F$64)),H101,0))</f>
        <v>0</v>
      </c>
      <c r="J96" s="14" t="n">
        <f aca="false">IF(J$5=$B$92,$B$94,IF(AND(J$5&gt;$B$92,J$5&lt;=IF('Unit Economics'!$F$41=1,9999,Assumptions!$F$64)),I101,0))</f>
        <v>0</v>
      </c>
      <c r="K96" s="14" t="n">
        <f aca="false">IF(K$5=$B$92,$B$94,IF(AND(K$5&gt;$B$92,K$5&lt;=IF('Unit Economics'!$F$41=1,9999,Assumptions!$F$64)),J101,0))</f>
        <v>0</v>
      </c>
      <c r="L96" s="14" t="n">
        <f aca="false">IF(L$5=$B$92,$B$94,IF(AND(L$5&gt;$B$92,L$5&lt;=IF('Unit Economics'!$F$41=1,9999,Assumptions!$F$64)),K101,0))</f>
        <v>0</v>
      </c>
    </row>
    <row r="97" customFormat="false" ht="15" hidden="false" customHeight="false" outlineLevel="0" collapsed="false">
      <c r="A97" s="6" t="s">
        <v>334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335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336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337</v>
      </c>
      <c r="C100" s="14" t="n">
        <f aca="false">IF(C$5=IF('Unit Economics'!$F$41=1,9999,Assumptions!$F$64),C96-C99,0)</f>
        <v>0</v>
      </c>
      <c r="D100" s="14" t="n">
        <f aca="false">IF(D$5=IF('Unit Economics'!$F$41=1,9999,Assumptions!$F$64),D96-D99,0)</f>
        <v>0</v>
      </c>
      <c r="E100" s="14" t="n">
        <f aca="false">IF(E$5=IF('Unit Economics'!$F$41=1,9999,Assumptions!$F$64),E96-E99,0)</f>
        <v>0</v>
      </c>
      <c r="F100" s="14" t="n">
        <f aca="false">IF(F$5=IF('Unit Economics'!$F$41=1,9999,Assumptions!$F$64),F96-F99,0)</f>
        <v>0</v>
      </c>
      <c r="G100" s="14" t="n">
        <f aca="false">IF(G$5=IF('Unit Economics'!$F$41=1,9999,Assumptions!$F$64),G96-G99,0)</f>
        <v>0</v>
      </c>
      <c r="H100" s="14" t="n">
        <f aca="false">IF(H$5=IF('Unit Economics'!$F$41=1,9999,Assumptions!$F$64),H96-H99,0)</f>
        <v>0</v>
      </c>
      <c r="I100" s="14" t="n">
        <f aca="false">IF(I$5=IF('Unit Economics'!$F$41=1,9999,Assumptions!$F$64),I96-I99,0)</f>
        <v>0</v>
      </c>
      <c r="J100" s="14" t="n">
        <f aca="false">IF(J$5=IF('Unit Economics'!$F$41=1,9999,Assumptions!$F$64),J96-J99,0)</f>
        <v>0</v>
      </c>
      <c r="K100" s="14" t="n">
        <f aca="false">IF(K$5=IF('Unit Economics'!$F$41=1,9999,Assumptions!$F$64),K96-K99,0)</f>
        <v>0</v>
      </c>
      <c r="L100" s="14" t="n">
        <f aca="false">IF(L$5=IF('Unit Economics'!$F$41=1,9999,Assumptions!$F$64),L96-L99,0)</f>
        <v>0</v>
      </c>
    </row>
    <row r="101" customFormat="false" ht="15" hidden="false" customHeight="false" outlineLevel="0" collapsed="false">
      <c r="A101" s="6" t="s">
        <v>338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339</v>
      </c>
      <c r="C102" s="14" t="n">
        <f aca="false">IF(AND(C$5&gt;=$B$92,C$5&lt;IF('Unit Economics'!$F$41=1,9999,Assumptions!$F$64)),$B$93*(1-Assumptions!$F$74)^(C$5-$B$92+1),0)</f>
        <v>0</v>
      </c>
      <c r="D102" s="14" t="n">
        <f aca="false">IF(AND(D$5&gt;=$B$92,D$5&lt;IF('Unit Economics'!$F$41=1,9999,Assumptions!$F$64)),$B$93*(1-Assumptions!$F$74)^(D$5-$B$92+1),0)</f>
        <v>0</v>
      </c>
      <c r="E102" s="14" t="n">
        <f aca="false">IF(AND(E$5&gt;=$B$92,E$5&lt;IF('Unit Economics'!$F$41=1,9999,Assumptions!$F$64)),$B$93*(1-Assumptions!$F$74)^(E$5-$B$92+1),0)</f>
        <v>0</v>
      </c>
      <c r="F102" s="14" t="n">
        <f aca="false">IF(AND(F$5&gt;=$B$92,F$5&lt;IF('Unit Economics'!$F$41=1,9999,Assumptions!$F$64)),$B$93*(1-Assumptions!$F$74)^(F$5-$B$92+1),0)</f>
        <v>0</v>
      </c>
      <c r="G102" s="14" t="n">
        <f aca="false">IF(AND(G$5&gt;=$B$92,G$5&lt;IF('Unit Economics'!$F$41=1,9999,Assumptions!$F$64)),$B$93*(1-Assumptions!$F$74)^(G$5-$B$92+1),0)</f>
        <v>0</v>
      </c>
      <c r="H102" s="14" t="n">
        <f aca="false">IF(AND(H$5&gt;=$B$92,H$5&lt;IF('Unit Economics'!$F$41=1,9999,Assumptions!$F$64)),$B$93*(1-Assumptions!$F$74)^(H$5-$B$92+1),0)</f>
        <v>0</v>
      </c>
      <c r="I102" s="14" t="n">
        <f aca="false">IF(AND(I$5&gt;=$B$92,I$5&lt;IF('Unit Economics'!$F$41=1,9999,Assumptions!$F$64)),$B$93*(1-Assumptions!$F$74)^(I$5-$B$92+1),0)</f>
        <v>0</v>
      </c>
      <c r="J102" s="14" t="n">
        <f aca="false">IF(AND(J$5&gt;=$B$92,J$5&lt;IF('Unit Economics'!$F$41=1,9999,Assumptions!$F$64)),$B$93*(1-Assumptions!$F$74)^(J$5-$B$92+1),0)</f>
        <v>0</v>
      </c>
      <c r="K102" s="14" t="n">
        <f aca="false">IF(AND(K$5&gt;=$B$92,K$5&lt;IF('Unit Economics'!$F$41=1,9999,Assumptions!$F$64)),$B$93*(1-Assumptions!$F$74)^(K$5-$B$92+1),0)</f>
        <v>0</v>
      </c>
      <c r="L102" s="14" t="n">
        <f aca="false">IF(AND(L$5&gt;=$B$92,L$5&lt;IF('Unit Economics'!$F$41=1,9999,Assumptions!$F$64)),$B$93*(1-Assumptions!$F$74)^(L$5-$B$92+1),0)</f>
        <v>0</v>
      </c>
    </row>
    <row r="103" customFormat="false" ht="15" hidden="false" customHeight="false" outlineLevel="0" collapsed="false">
      <c r="A103" s="6" t="s">
        <v>340</v>
      </c>
      <c r="C103" s="14" t="n">
        <f aca="false">IF(AND(C$5=IF('Unit Economics'!$F$41=1,9999,Assumptions!$F$64),C$5&gt;=$B$92),$B$93*(1-Assumptions!$F$74)^(C$5-$B$92+0.5)*(1-Assumptions!$F$73),0)</f>
        <v>0</v>
      </c>
      <c r="D103" s="14" t="n">
        <f aca="false">IF(AND(D$5=IF('Unit Economics'!$F$41=1,9999,Assumptions!$F$64),D$5&gt;=$B$92),$B$93*(1-Assumptions!$F$74)^(D$5-$B$92+0.5)*(1-Assumptions!$F$73),0)</f>
        <v>0</v>
      </c>
      <c r="E103" s="14" t="n">
        <f aca="false">IF(AND(E$5=IF('Unit Economics'!$F$41=1,9999,Assumptions!$F$64),E$5&gt;=$B$92),$B$93*(1-Assumptions!$F$74)^(E$5-$B$92+0.5)*(1-Assumptions!$F$73),0)</f>
        <v>0</v>
      </c>
      <c r="F103" s="14" t="n">
        <f aca="false">IF(AND(F$5=IF('Unit Economics'!$F$41=1,9999,Assumptions!$F$64),F$5&gt;=$B$92),$B$93*(1-Assumptions!$F$74)^(F$5-$B$92+0.5)*(1-Assumptions!$F$73),0)</f>
        <v>0</v>
      </c>
      <c r="G103" s="14" t="n">
        <f aca="false">IF(AND(G$5=IF('Unit Economics'!$F$41=1,9999,Assumptions!$F$64),G$5&gt;=$B$92),$B$93*(1-Assumptions!$F$74)^(G$5-$B$92+0.5)*(1-Assumptions!$F$73),0)</f>
        <v>0</v>
      </c>
      <c r="H103" s="14" t="n">
        <f aca="false">IF(AND(H$5=IF('Unit Economics'!$F$41=1,9999,Assumptions!$F$64),H$5&gt;=$B$92),$B$93*(1-Assumptions!$F$74)^(H$5-$B$92+0.5)*(1-Assumptions!$F$73),0)</f>
        <v>0</v>
      </c>
      <c r="I103" s="14" t="n">
        <f aca="false">IF(AND(I$5=IF('Unit Economics'!$F$41=1,9999,Assumptions!$F$64),I$5&gt;=$B$92),$B$93*(1-Assumptions!$F$74)^(I$5-$B$92+0.5)*(1-Assumptions!$F$73),0)</f>
        <v>0</v>
      </c>
      <c r="J103" s="14" t="n">
        <f aca="false">IF(AND(J$5=IF('Unit Economics'!$F$41=1,9999,Assumptions!$F$64),J$5&gt;=$B$92),$B$93*(1-Assumptions!$F$74)^(J$5-$B$92+0.5)*(1-Assumptions!$F$73),0)</f>
        <v>0</v>
      </c>
      <c r="K103" s="14" t="n">
        <f aca="false">IF(AND(K$5=IF('Unit Economics'!$F$41=1,9999,Assumptions!$F$64),K$5&gt;=$B$92),$B$93*(1-Assumptions!$F$74)^(K$5-$B$92+0.5)*(1-Assumptions!$F$73),0)</f>
        <v>0</v>
      </c>
      <c r="L103" s="14" t="n">
        <f aca="false">IF(AND(L$5=IF('Unit Economics'!$F$41=1,9999,Assumptions!$F$64),L$5&gt;=$B$92),$B$93*(1-Assumptions!$F$74)^(L$5-$B$92+0.5)*(1-Assumptions!$F$73),0)</f>
        <v>0</v>
      </c>
    </row>
    <row r="105" customFormat="false" ht="15" hidden="false" customHeight="false" outlineLevel="0" collapsed="false">
      <c r="A105" s="17" t="s">
        <v>347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348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349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350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351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352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353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436</v>
      </c>
    </row>
    <row r="2" customFormat="false" ht="15" hidden="false" customHeight="false" outlineLevel="0" collapsed="false">
      <c r="A2" s="2" t="s">
        <v>355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296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356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357</v>
      </c>
      <c r="C7" s="21" t="n">
        <f aca="false">IF(OR(C5&lt;'Fleet Plan'!$B$12+Assumptions!$F$57,AND('Unit Economics'!$F$41=0,SUM('Fleet Plan'!$C$13:$L$13)=0)),1,0)</f>
        <v>1</v>
      </c>
      <c r="D7" s="21" t="n">
        <f aca="false">IF(OR(D5&lt;'Fleet Plan'!$B$12+Assumptions!$F$57,AND('Unit Economics'!$F$41=0,SUM('Fleet Plan'!$C$13:$L$13)=0)),1,0)</f>
        <v>1</v>
      </c>
      <c r="E7" s="21" t="n">
        <f aca="false">IF(OR(E5&lt;'Fleet Plan'!$B$12+Assumptions!$F$57,AND('Unit Economics'!$F$41=0,SUM('Fleet Plan'!$C$13:$L$13)=0)),1,0)</f>
        <v>1</v>
      </c>
      <c r="F7" s="21" t="n">
        <f aca="false">IF(OR(F5&lt;'Fleet Plan'!$B$12+Assumptions!$F$57,AND('Unit Economics'!$F$41=0,SUM('Fleet Plan'!$C$13:$L$13)=0)),1,0)</f>
        <v>0</v>
      </c>
      <c r="G7" s="21" t="n">
        <f aca="false">IF(OR(G5&lt;'Fleet Plan'!$B$12+Assumptions!$F$57,AND('Unit Economics'!$F$41=0,SUM('Fleet Plan'!$C$13:$L$13)=0)),1,0)</f>
        <v>0</v>
      </c>
      <c r="H7" s="21" t="n">
        <f aca="false">IF(OR(H5&lt;'Fleet Plan'!$B$12+Assumptions!$F$57,AND('Unit Economics'!$F$41=0,SUM('Fleet Plan'!$C$13:$L$13)=0)),1,0)</f>
        <v>0</v>
      </c>
      <c r="I7" s="21" t="n">
        <f aca="false">IF(OR(I5&lt;'Fleet Plan'!$B$12+Assumptions!$F$57,AND('Unit Economics'!$F$41=0,SUM('Fleet Plan'!$C$13:$L$13)=0)),1,0)</f>
        <v>0</v>
      </c>
      <c r="J7" s="21" t="n">
        <f aca="false">IF(OR(J5&lt;'Fleet Plan'!$B$12+Assumptions!$F$57,AND('Unit Economics'!$F$41=0,SUM('Fleet Plan'!$C$13:$L$13)=0)),1,0)</f>
        <v>0</v>
      </c>
      <c r="K7" s="21" t="n">
        <f aca="false">IF(OR(K5&lt;'Fleet Plan'!$B$12+Assumptions!$F$57,AND('Unit Economics'!$F$41=0,SUM('Fleet Plan'!$C$13:$L$13)=0)),1,0)</f>
        <v>0</v>
      </c>
      <c r="L7" s="21" t="n">
        <f aca="false">IF(OR(L5&lt;'Fleet Plan'!$B$12+Assumptions!$F$57,AND('Unit Economics'!$F$41=0,SUM('Fleet Plan'!$C$13:$L$13)=0)),1,0)</f>
        <v>0</v>
      </c>
    </row>
    <row r="8" customFormat="false" ht="15" hidden="false" customHeight="false" outlineLevel="0" collapsed="false">
      <c r="A8" s="6" t="s">
        <v>358</v>
      </c>
      <c r="C8" s="44" t="n">
        <f aca="false">(1+Assumptions!$F$54)^C6</f>
        <v>1</v>
      </c>
      <c r="D8" s="44" t="n">
        <f aca="false">(1+Assumptions!$F$54)^D6</f>
        <v>1.03</v>
      </c>
      <c r="E8" s="44" t="n">
        <f aca="false">(1+Assumptions!$F$54)^E6</f>
        <v>1.0609</v>
      </c>
      <c r="F8" s="44" t="n">
        <f aca="false">(1+Assumptions!$F$54)^F6</f>
        <v>1.092727</v>
      </c>
      <c r="G8" s="44" t="n">
        <f aca="false">(1+Assumptions!$F$54)^G6</f>
        <v>1.12550881</v>
      </c>
      <c r="H8" s="44" t="n">
        <f aca="false">(1+Assumptions!$F$54)^H6</f>
        <v>1.1592740743</v>
      </c>
      <c r="I8" s="44" t="n">
        <f aca="false">(1+Assumptions!$F$54)^I6</f>
        <v>1.194052296529</v>
      </c>
      <c r="J8" s="44" t="n">
        <f aca="false">(1+Assumptions!$F$54)^J6</f>
        <v>1.22987386542487</v>
      </c>
      <c r="K8" s="44" t="n">
        <f aca="false">(1+Assumptions!$F$54)^K6</f>
        <v>1.26677008138762</v>
      </c>
      <c r="L8" s="44" t="n">
        <f aca="false">(1+Assumptions!$F$54)^L6</f>
        <v>1.30477318382925</v>
      </c>
    </row>
    <row r="10" customFormat="false" ht="15" hidden="false" customHeight="false" outlineLevel="0" collapsed="false">
      <c r="A10" s="17" t="s">
        <v>359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360</v>
      </c>
      <c r="C11" s="21" t="n">
        <f aca="false">'Fleet Plan'!C15</f>
        <v>1</v>
      </c>
      <c r="D11" s="21" t="n">
        <f aca="false">'Fleet Plan'!D15</f>
        <v>1</v>
      </c>
      <c r="E11" s="21" t="n">
        <f aca="false">'Fleet Plan'!E15</f>
        <v>0</v>
      </c>
      <c r="F11" s="21" t="n">
        <f aca="false">'Fleet Plan'!F15</f>
        <v>0</v>
      </c>
      <c r="G11" s="21" t="n">
        <f aca="false">'Fleet Plan'!G15</f>
        <v>0</v>
      </c>
      <c r="H11" s="21" t="n">
        <f aca="false">'Fleet Plan'!H15</f>
        <v>0</v>
      </c>
      <c r="I11" s="21" t="n">
        <f aca="false">'Fleet Plan'!I15</f>
        <v>0</v>
      </c>
      <c r="J11" s="21" t="n">
        <f aca="false">'Fleet Plan'!J15</f>
        <v>0</v>
      </c>
      <c r="K11" s="21" t="n">
        <f aca="false">'Fleet Plan'!K15</f>
        <v>0</v>
      </c>
      <c r="L11" s="21" t="n">
        <f aca="false">'Fleet Plan'!L15</f>
        <v>0</v>
      </c>
    </row>
    <row r="12" customFormat="false" ht="15" hidden="false" customHeight="false" outlineLevel="0" collapsed="false">
      <c r="A12" s="6" t="s">
        <v>361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362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293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363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364</v>
      </c>
      <c r="C16" s="21" t="n">
        <f aca="false">'Fleet Plan'!C13*(1-C7)</f>
        <v>0</v>
      </c>
      <c r="D16" s="21" t="n">
        <f aca="false">'Fleet Plan'!D13*(1-D7)</f>
        <v>0</v>
      </c>
      <c r="E16" s="21" t="n">
        <f aca="false">'Fleet Plan'!E13*(1-E7)</f>
        <v>0</v>
      </c>
      <c r="F16" s="21" t="n">
        <f aca="false">'Fleet Plan'!F13*(1-F7)</f>
        <v>2</v>
      </c>
      <c r="G16" s="21" t="n">
        <f aca="false">'Fleet Plan'!G13*(1-G7)</f>
        <v>4</v>
      </c>
      <c r="H16" s="21" t="n">
        <f aca="false">'Fleet Plan'!H13*(1-H7)</f>
        <v>6</v>
      </c>
      <c r="I16" s="21" t="n">
        <f aca="false">'Fleet Plan'!I13*(1-I7)</f>
        <v>9</v>
      </c>
      <c r="J16" s="21" t="n">
        <f aca="false">'Fleet Plan'!J13*(1-J7)</f>
        <v>12</v>
      </c>
      <c r="K16" s="21" t="n">
        <f aca="false">'Fleet Plan'!K13*(1-K7)</f>
        <v>15</v>
      </c>
      <c r="L16" s="21" t="n">
        <f aca="false">'Fleet Plan'!L13*(1-L7)</f>
        <v>18</v>
      </c>
    </row>
    <row r="17" customFormat="false" ht="15" hidden="false" customHeight="false" outlineLevel="0" collapsed="false">
      <c r="A17" s="6" t="s">
        <v>365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1</v>
      </c>
      <c r="G17" s="46" t="n">
        <f aca="false">(F16+G16)/2</f>
        <v>3</v>
      </c>
      <c r="H17" s="46" t="n">
        <f aca="false">(G16+H16)/2</f>
        <v>5</v>
      </c>
      <c r="I17" s="46" t="n">
        <f aca="false">(H16+I16)/2</f>
        <v>7.5</v>
      </c>
      <c r="J17" s="46" t="n">
        <f aca="false">(I16+J16)/2</f>
        <v>10.5</v>
      </c>
      <c r="K17" s="46" t="n">
        <f aca="false">(J16+K16)/2</f>
        <v>13.5</v>
      </c>
      <c r="L17" s="46" t="n">
        <f aca="false">(K16+L16)/2</f>
        <v>16.5</v>
      </c>
    </row>
    <row r="19" customFormat="false" ht="15" hidden="false" customHeight="false" outlineLevel="0" collapsed="false">
      <c r="A19" s="17" t="s">
        <v>366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367</v>
      </c>
      <c r="C20" s="14" t="n">
        <f aca="false">C14*Assumptions!$F$26*Assumptions!$F$27*(1+Assumptions!$F$29)^C6</f>
        <v>1154250</v>
      </c>
      <c r="D20" s="14" t="n">
        <f aca="false">D14*Assumptions!$F$26*Assumptions!$F$27*(1+Assumptions!$F$29)^D6</f>
        <v>3566632.5</v>
      </c>
      <c r="E20" s="14" t="n">
        <f aca="false">E14*Assumptions!$F$26*Assumptions!$F$27*(1+Assumptions!$F$29)^E6</f>
        <v>2040906.375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368</v>
      </c>
      <c r="C21" s="14" t="n">
        <f aca="false">C14*(1-Assumptions!$F$26)*Assumptions!$F$28*(1+Assumptions!$F$29)^C6</f>
        <v>72000.0000000001</v>
      </c>
      <c r="D21" s="14" t="n">
        <f aca="false">D14*(1-Assumptions!$F$26)*Assumptions!$F$28*(1+Assumptions!$F$29)^D6</f>
        <v>222480</v>
      </c>
      <c r="E21" s="14" t="n">
        <f aca="false">E14*(1-Assumptions!$F$26)*Assumptions!$F$28*(1+Assumptions!$F$29)^E6</f>
        <v>127308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369</v>
      </c>
      <c r="C22" s="14" t="n">
        <f aca="false">C17*Assumptions!$F$61*C8</f>
        <v>0</v>
      </c>
      <c r="D22" s="14" t="n">
        <f aca="false">D17*Assumptions!$F$61*D8</f>
        <v>0</v>
      </c>
      <c r="E22" s="14" t="n">
        <f aca="false">E17*Assumptions!$F$61*E8</f>
        <v>0</v>
      </c>
      <c r="F22" s="14" t="n">
        <f aca="false">F17*Assumptions!$F$61*F8</f>
        <v>218545.4</v>
      </c>
      <c r="G22" s="14" t="n">
        <f aca="false">G17*Assumptions!$F$61*G8</f>
        <v>675305.286</v>
      </c>
      <c r="H22" s="14" t="n">
        <f aca="false">H17*Assumptions!$F$61*H8</f>
        <v>1159274.0743</v>
      </c>
      <c r="I22" s="14" t="n">
        <f aca="false">I17*Assumptions!$F$61*I8</f>
        <v>1791078.4447935</v>
      </c>
      <c r="J22" s="14" t="n">
        <f aca="false">J17*Assumptions!$F$61*J8</f>
        <v>2582735.11739223</v>
      </c>
      <c r="K22" s="14" t="n">
        <f aca="false">K17*Assumptions!$F$61*K8</f>
        <v>3420279.21974656</v>
      </c>
      <c r="L22" s="14" t="n">
        <f aca="false">L17*Assumptions!$F$61*L8</f>
        <v>4305751.50663651</v>
      </c>
    </row>
    <row r="23" customFormat="false" ht="15" hidden="false" customHeight="false" outlineLevel="0" collapsed="false">
      <c r="A23" s="11" t="s">
        <v>370</v>
      </c>
      <c r="C23" s="15" t="n">
        <f aca="false">SUM(C20:C22)</f>
        <v>1226250</v>
      </c>
      <c r="D23" s="15" t="n">
        <f aca="false">SUM(D20:D22)</f>
        <v>3789112.5</v>
      </c>
      <c r="E23" s="15" t="n">
        <f aca="false">SUM(E20:E22)</f>
        <v>2168214.375</v>
      </c>
      <c r="F23" s="15" t="n">
        <f aca="false">SUM(F20:F22)</f>
        <v>218545.4</v>
      </c>
      <c r="G23" s="15" t="n">
        <f aca="false">SUM(G20:G22)</f>
        <v>675305.286</v>
      </c>
      <c r="H23" s="15" t="n">
        <f aca="false">SUM(H20:H22)</f>
        <v>1159274.0743</v>
      </c>
      <c r="I23" s="15" t="n">
        <f aca="false">SUM(I20:I22)</f>
        <v>1791078.4447935</v>
      </c>
      <c r="J23" s="15" t="n">
        <f aca="false">SUM(J20:J22)</f>
        <v>2582735.11739223</v>
      </c>
      <c r="K23" s="15" t="n">
        <f aca="false">SUM(K20:K22)</f>
        <v>3420279.21974656</v>
      </c>
      <c r="L23" s="15" t="n">
        <f aca="false">SUM(L20:L22)</f>
        <v>4305751.50663651</v>
      </c>
    </row>
    <row r="25" customFormat="false" ht="15" hidden="false" customHeight="false" outlineLevel="0" collapsed="false">
      <c r="A25" s="17" t="s">
        <v>371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372</v>
      </c>
      <c r="C26" s="14" t="n">
        <f aca="false">C15*(Assumptions!$F$32*Assumptions!$F$33+(Assumptions!$F$34+Assumptions!$F$35+Assumptions!$F$36)*(1+Assumptions!$F$37)+Assumptions!$F$38)*C8</f>
        <v>992574</v>
      </c>
      <c r="D26" s="14" t="n">
        <f aca="false">D15*(Assumptions!$F$32*Assumptions!$F$33+(Assumptions!$F$34+Assumptions!$F$35+Assumptions!$F$36)*(1+Assumptions!$F$37)+Assumptions!$F$38)*D8</f>
        <v>3067053.66</v>
      </c>
      <c r="E26" s="14" t="n">
        <f aca="false">E15*(Assumptions!$F$32*Assumptions!$F$33+(Assumptions!$F$34+Assumptions!$F$35+Assumptions!$F$36)*(1+Assumptions!$F$37)+Assumptions!$F$38)*E8</f>
        <v>1755036.261</v>
      </c>
      <c r="F26" s="14" t="n">
        <f aca="false">F15*(Assumptions!$F$32*Assumptions!$F$33+(Assumptions!$F$34+Assumptions!$F$35+Assumptions!$F$36)*(1+Assumptions!$F$37)+Assumptions!$F$38)*F8</f>
        <v>0</v>
      </c>
      <c r="G26" s="14" t="n">
        <f aca="false">G15*(Assumptions!$F$32*Assumptions!$F$33+(Assumptions!$F$34+Assumptions!$F$35+Assumptions!$F$36)*(1+Assumptions!$F$37)+Assumptions!$F$38)*G8</f>
        <v>0</v>
      </c>
      <c r="H26" s="14" t="n">
        <f aca="false">H15*(Assumptions!$F$32*Assumptions!$F$33+(Assumptions!$F$34+Assumptions!$F$35+Assumptions!$F$36)*(1+Assumptions!$F$37)+Assumptions!$F$38)*H8</f>
        <v>0</v>
      </c>
      <c r="I26" s="14" t="n">
        <f aca="false">I15*(Assumptions!$F$32*Assumptions!$F$33+(Assumptions!$F$34+Assumptions!$F$35+Assumptions!$F$36)*(1+Assumptions!$F$37)+Assumptions!$F$38)*I8</f>
        <v>0</v>
      </c>
      <c r="J26" s="14" t="n">
        <f aca="false">J15*(Assumptions!$F$32*Assumptions!$F$33+(Assumptions!$F$34+Assumptions!$F$35+Assumptions!$F$36)*(1+Assumptions!$F$37)+Assumptions!$F$38)*J8</f>
        <v>0</v>
      </c>
      <c r="K26" s="14" t="n">
        <f aca="false">K15*(Assumptions!$F$32*Assumptions!$F$33+(Assumptions!$F$34+Assumptions!$F$35+Assumptions!$F$36)*(1+Assumptions!$F$37)+Assumptions!$F$38)*K8</f>
        <v>0</v>
      </c>
      <c r="L26" s="14" t="n">
        <f aca="false">L15*(Assumptions!$F$32*Assumptions!$F$33+(Assumptions!$F$34+Assumptions!$F$35+Assumptions!$F$36)*(1+Assumptions!$F$37)+Assumptions!$F$38)*L8</f>
        <v>0</v>
      </c>
    </row>
    <row r="27" customFormat="false" ht="15" hidden="false" customHeight="false" outlineLevel="0" collapsed="false">
      <c r="A27" s="6" t="s">
        <v>373</v>
      </c>
      <c r="C27" s="14" t="n">
        <f aca="false">C12*((Assumptions!$F$40*Assumptions!$F$42+Assumptions!$F$41*Assumptions!$F$43)*(1+Assumptions!$F$44)+Assumptions!$F$45)*C8</f>
        <v>342500</v>
      </c>
      <c r="D27" s="14" t="n">
        <f aca="false">D12*((Assumptions!$F$40*Assumptions!$F$42+Assumptions!$F$41*Assumptions!$F$43)*(1+Assumptions!$F$44)+Assumptions!$F$45)*D8</f>
        <v>705550</v>
      </c>
      <c r="E27" s="14" t="n">
        <f aca="false">E12*((Assumptions!$F$40*Assumptions!$F$42+Assumptions!$F$41*Assumptions!$F$43)*(1+Assumptions!$F$44)+Assumptions!$F$45)*E8</f>
        <v>363358.25</v>
      </c>
      <c r="F27" s="14" t="n">
        <f aca="false">F12*((Assumptions!$F$40*Assumptions!$F$42+Assumptions!$F$41*Assumptions!$F$43)*(1+Assumptions!$F$44)+Assumptions!$F$45)*F8</f>
        <v>0</v>
      </c>
      <c r="G27" s="14" t="n">
        <f aca="false">G12*((Assumptions!$F$40*Assumptions!$F$42+Assumptions!$F$41*Assumptions!$F$43)*(1+Assumptions!$F$44)+Assumptions!$F$45)*G8</f>
        <v>0</v>
      </c>
      <c r="H27" s="14" t="n">
        <f aca="false">H12*((Assumptions!$F$40*Assumptions!$F$42+Assumptions!$F$41*Assumptions!$F$43)*(1+Assumptions!$F$44)+Assumptions!$F$45)*H8</f>
        <v>0</v>
      </c>
      <c r="I27" s="14" t="n">
        <f aca="false">I12*((Assumptions!$F$40*Assumptions!$F$42+Assumptions!$F$41*Assumptions!$F$43)*(1+Assumptions!$F$44)+Assumptions!$F$45)*I8</f>
        <v>0</v>
      </c>
      <c r="J27" s="14" t="n">
        <f aca="false">J12*((Assumptions!$F$40*Assumptions!$F$42+Assumptions!$F$41*Assumptions!$F$43)*(1+Assumptions!$F$44)+Assumptions!$F$45)*J8</f>
        <v>0</v>
      </c>
      <c r="K27" s="14" t="n">
        <f aca="false">K12*((Assumptions!$F$40*Assumptions!$F$42+Assumptions!$F$41*Assumptions!$F$43)*(1+Assumptions!$F$44)+Assumptions!$F$45)*K8</f>
        <v>0</v>
      </c>
      <c r="L27" s="14" t="n">
        <f aca="false">L12*((Assumptions!$F$40*Assumptions!$F$42+Assumptions!$F$41*Assumptions!$F$43)*(1+Assumptions!$F$44)+Assumptions!$F$45)*L8</f>
        <v>0</v>
      </c>
    </row>
    <row r="28" customFormat="false" ht="15" hidden="false" customHeight="false" outlineLevel="0" collapsed="false">
      <c r="A28" s="6" t="s">
        <v>304</v>
      </c>
      <c r="C28" s="14" t="n">
        <f aca="false">C12*(Assumptions!$F$40+Assumptions!$F$41)*Assumptions!$F$46*C8</f>
        <v>67500</v>
      </c>
      <c r="D28" s="14" t="n">
        <f aca="false">D12*(Assumptions!$F$40+Assumptions!$F$41)*Assumptions!$F$46*D8</f>
        <v>139050</v>
      </c>
      <c r="E28" s="14" t="n">
        <f aca="false">E12*(Assumptions!$F$40+Assumptions!$F$41)*Assumptions!$F$46*E8</f>
        <v>71610.75</v>
      </c>
      <c r="F28" s="14" t="n">
        <f aca="false">F12*(Assumptions!$F$40+Assumptions!$F$41)*Assumptions!$F$46*F8</f>
        <v>0</v>
      </c>
      <c r="G28" s="14" t="n">
        <f aca="false">G12*(Assumptions!$F$40+Assumptions!$F$41)*Assumptions!$F$46*G8</f>
        <v>0</v>
      </c>
      <c r="H28" s="14" t="n">
        <f aca="false">H12*(Assumptions!$F$40+Assumptions!$F$41)*Assumptions!$F$46*H8</f>
        <v>0</v>
      </c>
      <c r="I28" s="14" t="n">
        <f aca="false">I12*(Assumptions!$F$40+Assumptions!$F$41)*Assumptions!$F$46*I8</f>
        <v>0</v>
      </c>
      <c r="J28" s="14" t="n">
        <f aca="false">J12*(Assumptions!$F$40+Assumptions!$F$41)*Assumptions!$F$46*J8</f>
        <v>0</v>
      </c>
      <c r="K28" s="14" t="n">
        <f aca="false">K12*(Assumptions!$F$40+Assumptions!$F$41)*Assumptions!$F$46*K8</f>
        <v>0</v>
      </c>
      <c r="L28" s="14" t="n">
        <f aca="false">L12*(Assumptions!$F$40+Assumptions!$F$41)*Assumptions!$F$46*L8</f>
        <v>0</v>
      </c>
    </row>
    <row r="29" customFormat="false" ht="15" hidden="false" customHeight="false" outlineLevel="0" collapsed="false">
      <c r="A29" s="6" t="s">
        <v>374</v>
      </c>
      <c r="C29" s="14" t="n">
        <f aca="false">C12*(Assumptions!$F$47+Assumptions!$F$48+Assumptions!$F$51+Assumptions!$F$52)*C8</f>
        <v>190500</v>
      </c>
      <c r="D29" s="14" t="n">
        <f aca="false">D12*(Assumptions!$F$47+Assumptions!$F$48+Assumptions!$F$51+Assumptions!$F$52)*D8</f>
        <v>392430</v>
      </c>
      <c r="E29" s="14" t="n">
        <f aca="false">E12*(Assumptions!$F$47+Assumptions!$F$48+Assumptions!$F$51+Assumptions!$F$52)*E8</f>
        <v>202101.45</v>
      </c>
      <c r="F29" s="14" t="n">
        <f aca="false">F12*(Assumptions!$F$47+Assumptions!$F$48+Assumptions!$F$51+Assumptions!$F$52)*F8</f>
        <v>0</v>
      </c>
      <c r="G29" s="14" t="n">
        <f aca="false">G12*(Assumptions!$F$47+Assumptions!$F$48+Assumptions!$F$51+Assumptions!$F$52)*G8</f>
        <v>0</v>
      </c>
      <c r="H29" s="14" t="n">
        <f aca="false">H12*(Assumptions!$F$47+Assumptions!$F$48+Assumptions!$F$51+Assumptions!$F$52)*H8</f>
        <v>0</v>
      </c>
      <c r="I29" s="14" t="n">
        <f aca="false">I12*(Assumptions!$F$47+Assumptions!$F$48+Assumptions!$F$51+Assumptions!$F$52)*I8</f>
        <v>0</v>
      </c>
      <c r="J29" s="14" t="n">
        <f aca="false">J12*(Assumptions!$F$47+Assumptions!$F$48+Assumptions!$F$51+Assumptions!$F$52)*J8</f>
        <v>0</v>
      </c>
      <c r="K29" s="14" t="n">
        <f aca="false">K12*(Assumptions!$F$47+Assumptions!$F$48+Assumptions!$F$51+Assumptions!$F$52)*K8</f>
        <v>0</v>
      </c>
      <c r="L29" s="14" t="n">
        <f aca="false">L12*(Assumptions!$F$47+Assumptions!$F$48+Assumptions!$F$51+Assumptions!$F$52)*L8</f>
        <v>0</v>
      </c>
    </row>
    <row r="30" customFormat="false" ht="15" hidden="false" customHeight="false" outlineLevel="0" collapsed="false">
      <c r="A30" s="6" t="s">
        <v>375</v>
      </c>
      <c r="C30" s="14" t="n">
        <f aca="false">C7*C12*Assumptions!$F$49*12*C8</f>
        <v>60000</v>
      </c>
      <c r="D30" s="14" t="n">
        <f aca="false">D7*D12*Assumptions!$F$49*12*D8</f>
        <v>123600</v>
      </c>
      <c r="E30" s="14" t="n">
        <f aca="false">E7*E12*Assumptions!$F$49*12*E8</f>
        <v>63654</v>
      </c>
      <c r="F30" s="14" t="n">
        <f aca="false">F7*F12*Assumptions!$F$49*12*F8</f>
        <v>0</v>
      </c>
      <c r="G30" s="14" t="n">
        <f aca="false">G7*G12*Assumptions!$F$49*12*G8</f>
        <v>0</v>
      </c>
      <c r="H30" s="14" t="n">
        <f aca="false">H7*H12*Assumptions!$F$49*12*H8</f>
        <v>0</v>
      </c>
      <c r="I30" s="14" t="n">
        <f aca="false">I7*I12*Assumptions!$F$49*12*I8</f>
        <v>0</v>
      </c>
      <c r="J30" s="14" t="n">
        <f aca="false">J7*J12*Assumptions!$F$49*12*J8</f>
        <v>0</v>
      </c>
      <c r="K30" s="14" t="n">
        <f aca="false">K7*K12*Assumptions!$F$49*12*K8</f>
        <v>0</v>
      </c>
      <c r="L30" s="14" t="n">
        <f aca="false">L7*L12*Assumptions!$F$49*12*L8</f>
        <v>0</v>
      </c>
    </row>
    <row r="31" customFormat="false" ht="15" hidden="false" customHeight="false" outlineLevel="0" collapsed="false">
      <c r="A31" s="6" t="s">
        <v>376</v>
      </c>
      <c r="C31" s="14" t="n">
        <f aca="false">C7*(C20+C21)*Assumptions!$F$50</f>
        <v>122625</v>
      </c>
      <c r="D31" s="14" t="n">
        <f aca="false">D7*(D20+D21)*Assumptions!$F$50</f>
        <v>378911.25</v>
      </c>
      <c r="E31" s="14" t="n">
        <f aca="false">E7*(E20+E21)*Assumptions!$F$50</f>
        <v>216821.4375</v>
      </c>
      <c r="F31" s="14" t="n">
        <f aca="false">F7*(F20+F21)*Assumptions!$F$50</f>
        <v>0</v>
      </c>
      <c r="G31" s="14" t="n">
        <f aca="false">G7*(G20+G21)*Assumptions!$F$50</f>
        <v>0</v>
      </c>
      <c r="H31" s="14" t="n">
        <f aca="false">H7*(H20+H21)*Assumptions!$F$50</f>
        <v>0</v>
      </c>
      <c r="I31" s="14" t="n">
        <f aca="false">I7*(I20+I21)*Assumptions!$F$50</f>
        <v>0</v>
      </c>
      <c r="J31" s="14" t="n">
        <f aca="false">J7*(J20+J21)*Assumptions!$F$50</f>
        <v>0</v>
      </c>
      <c r="K31" s="14" t="n">
        <f aca="false">K7*(K20+K21)*Assumptions!$F$50</f>
        <v>0</v>
      </c>
      <c r="L31" s="14" t="n">
        <f aca="false">L7*(L20+L21)*Assumptions!$F$50</f>
        <v>0</v>
      </c>
    </row>
    <row r="32" customFormat="false" ht="15" hidden="false" customHeight="false" outlineLevel="0" collapsed="false">
      <c r="A32" s="6" t="s">
        <v>377</v>
      </c>
      <c r="C32" s="14" t="n">
        <f aca="false">C7*IF(C12&gt;0,1,0)*Assumptions!$F$53*C8</f>
        <v>100000</v>
      </c>
      <c r="D32" s="14" t="n">
        <f aca="false">D7*IF(D12&gt;0,1,0)*Assumptions!$F$53*D8</f>
        <v>103000</v>
      </c>
      <c r="E32" s="14" t="n">
        <f aca="false">E7*IF(E12&gt;0,1,0)*Assumptions!$F$53*E8</f>
        <v>106090</v>
      </c>
      <c r="F32" s="14" t="n">
        <f aca="false">F7*IF(F12&gt;0,1,0)*Assumptions!$F$53*F8</f>
        <v>0</v>
      </c>
      <c r="G32" s="14" t="n">
        <f aca="false">G7*IF(G12&gt;0,1,0)*Assumptions!$F$53*G8</f>
        <v>0</v>
      </c>
      <c r="H32" s="14" t="n">
        <f aca="false">H7*IF(H12&gt;0,1,0)*Assumptions!$F$53*H8</f>
        <v>0</v>
      </c>
      <c r="I32" s="14" t="n">
        <f aca="false">I7*IF(I12&gt;0,1,0)*Assumptions!$F$53*I8</f>
        <v>0</v>
      </c>
      <c r="J32" s="14" t="n">
        <f aca="false">J7*IF(J12&gt;0,1,0)*Assumptions!$F$53*J8</f>
        <v>0</v>
      </c>
      <c r="K32" s="14" t="n">
        <f aca="false">K7*IF(K12&gt;0,1,0)*Assumptions!$F$53*K8</f>
        <v>0</v>
      </c>
      <c r="L32" s="14" t="n">
        <f aca="false">L7*IF(L12&gt;0,1,0)*Assumptions!$F$53*L8</f>
        <v>0</v>
      </c>
    </row>
    <row r="33" customFormat="false" ht="15" hidden="false" customHeight="false" outlineLevel="0" collapsed="false">
      <c r="A33" s="6" t="s">
        <v>378</v>
      </c>
      <c r="C33" s="14" t="n">
        <f aca="false">(1-C7)*(Assumptions!$F$59+Assumptions!$F$60*(C12+C17))*C8</f>
        <v>0</v>
      </c>
      <c r="D33" s="14" t="n">
        <f aca="false">(1-D7)*(Assumptions!$F$59+Assumptions!$F$60*(D12+D17))*D8</f>
        <v>0</v>
      </c>
      <c r="E33" s="14" t="n">
        <f aca="false">(1-E7)*(Assumptions!$F$59+Assumptions!$F$60*(E12+E17))*E8</f>
        <v>0</v>
      </c>
      <c r="F33" s="14" t="n">
        <f aca="false">(1-F7)*(Assumptions!$F$59+Assumptions!$F$60*(F12+F17))*F8</f>
        <v>983454.3</v>
      </c>
      <c r="G33" s="14" t="n">
        <f aca="false">(1-G7)*(Assumptions!$F$59+Assumptions!$F$60*(G12+G17))*G8</f>
        <v>1125508.81</v>
      </c>
      <c r="H33" s="14" t="n">
        <f aca="false">(1-H7)*(Assumptions!$F$59+Assumptions!$F$60*(H12+H17))*H8</f>
        <v>1275201.48173</v>
      </c>
      <c r="I33" s="14" t="n">
        <f aca="false">(1-I7)*(Assumptions!$F$59+Assumptions!$F$60*(I12+I17))*I8</f>
        <v>1462714.06324803</v>
      </c>
      <c r="J33" s="14" t="n">
        <f aca="false">(1-J7)*(Assumptions!$F$59+Assumptions!$F$60*(J12+J17))*J8</f>
        <v>1691076.5649592</v>
      </c>
      <c r="K33" s="14" t="n">
        <f aca="false">(1-K7)*(Assumptions!$F$59+Assumptions!$F$60*(K12+K17))*K8</f>
        <v>1931824.37411612</v>
      </c>
      <c r="L33" s="14" t="n">
        <f aca="false">(1-L7)*(Assumptions!$F$59+Assumptions!$F$60*(L12+L17))*L8</f>
        <v>2185495.08291399</v>
      </c>
    </row>
    <row r="34" customFormat="false" ht="15" hidden="false" customHeight="false" outlineLevel="0" collapsed="false">
      <c r="A34" s="11" t="s">
        <v>379</v>
      </c>
      <c r="C34" s="15" t="n">
        <f aca="false">SUM(C26:C33)</f>
        <v>1875699</v>
      </c>
      <c r="D34" s="15" t="n">
        <f aca="false">SUM(D26:D33)</f>
        <v>4909594.91</v>
      </c>
      <c r="E34" s="15" t="n">
        <f aca="false">SUM(E26:E33)</f>
        <v>2778672.1485</v>
      </c>
      <c r="F34" s="15" t="n">
        <f aca="false">SUM(F26:F33)</f>
        <v>983454.3</v>
      </c>
      <c r="G34" s="15" t="n">
        <f aca="false">SUM(G26:G33)</f>
        <v>1125508.81</v>
      </c>
      <c r="H34" s="15" t="n">
        <f aca="false">SUM(H26:H33)</f>
        <v>1275201.48173</v>
      </c>
      <c r="I34" s="15" t="n">
        <f aca="false">SUM(I26:I33)</f>
        <v>1462714.06324803</v>
      </c>
      <c r="J34" s="15" t="n">
        <f aca="false">SUM(J26:J33)</f>
        <v>1691076.5649592</v>
      </c>
      <c r="K34" s="15" t="n">
        <f aca="false">SUM(K26:K33)</f>
        <v>1931824.37411612</v>
      </c>
      <c r="L34" s="15" t="n">
        <f aca="false">SUM(L26:L33)</f>
        <v>2185495.08291399</v>
      </c>
    </row>
    <row r="36" customFormat="false" ht="15" hidden="false" customHeight="false" outlineLevel="0" collapsed="false">
      <c r="A36" s="11" t="s">
        <v>90</v>
      </c>
      <c r="C36" s="24" t="n">
        <f aca="false">C23-C34</f>
        <v>-649449</v>
      </c>
      <c r="D36" s="24" t="n">
        <f aca="false">D23-D34</f>
        <v>-1120482.41</v>
      </c>
      <c r="E36" s="24" t="n">
        <f aca="false">E23-E34</f>
        <v>-610457.7735</v>
      </c>
      <c r="F36" s="24" t="n">
        <f aca="false">F23-F34</f>
        <v>-764908.9</v>
      </c>
      <c r="G36" s="24" t="n">
        <f aca="false">G23-G34</f>
        <v>-450203.524</v>
      </c>
      <c r="H36" s="24" t="n">
        <f aca="false">H23-H34</f>
        <v>-115927.40743</v>
      </c>
      <c r="I36" s="24" t="n">
        <f aca="false">I23-I34</f>
        <v>328364.381545475</v>
      </c>
      <c r="J36" s="24" t="n">
        <f aca="false">J23-J34</f>
        <v>891658.552433031</v>
      </c>
      <c r="K36" s="24" t="n">
        <f aca="false">K23-K34</f>
        <v>1488454.84563045</v>
      </c>
      <c r="L36" s="24" t="n">
        <f aca="false">L23-L34</f>
        <v>2120256.42372252</v>
      </c>
    </row>
    <row r="37" customFormat="false" ht="15" hidden="false" customHeight="false" outlineLevel="0" collapsed="false">
      <c r="A37" s="6" t="s">
        <v>312</v>
      </c>
      <c r="C37" s="16" t="n">
        <f aca="false">IF(C23=0,0,C36/C23)</f>
        <v>-0.529622018348624</v>
      </c>
      <c r="D37" s="16" t="n">
        <f aca="false">IF(D23=0,0,D36/D23)</f>
        <v>-0.295711043153245</v>
      </c>
      <c r="E37" s="16" t="n">
        <f aca="false">IF(E23=0,0,E36/E23)</f>
        <v>-0.281548623853211</v>
      </c>
      <c r="F37" s="16" t="n">
        <f aca="false">IF(F23=0,0,F36/F23)</f>
        <v>-3.5</v>
      </c>
      <c r="G37" s="16" t="n">
        <f aca="false">IF(G23=0,0,G36/G23)</f>
        <v>-0.666666666666667</v>
      </c>
      <c r="H37" s="16" t="n">
        <f aca="false">IF(H23=0,0,H36/H23)</f>
        <v>-0.1</v>
      </c>
      <c r="I37" s="16" t="n">
        <f aca="false">IF(I23=0,0,I36/I23)</f>
        <v>0.183333333333333</v>
      </c>
      <c r="J37" s="16" t="n">
        <f aca="false">IF(J23=0,0,J36/J23)</f>
        <v>0.345238095238095</v>
      </c>
      <c r="K37" s="16" t="n">
        <f aca="false">IF(K23=0,0,K36/K23)</f>
        <v>0.435185185185185</v>
      </c>
      <c r="L37" s="16" t="n">
        <f aca="false">IF(L23=0,0,L36/L23)</f>
        <v>0.492424242424242</v>
      </c>
    </row>
    <row r="38" customFormat="false" ht="15" hidden="false" customHeight="false" outlineLevel="0" collapsed="false">
      <c r="A38" s="6" t="s">
        <v>380</v>
      </c>
      <c r="C38" s="14" t="n">
        <f aca="false">IF(AND(C5='Fleet Plan'!$B$12+Assumptions!$F$57-1,OR('Unit Economics'!$F$41=1,SUM('Fleet Plan'!$C$13:$L$13)&gt;0)),Assumptions!$F$58,0)</f>
        <v>0</v>
      </c>
      <c r="D38" s="14" t="n">
        <f aca="false">IF(AND(D5='Fleet Plan'!$B$12+Assumptions!$F$57-1,OR('Unit Economics'!$F$41=1,SUM('Fleet Plan'!$C$13:$L$13)&gt;0)),Assumptions!$F$58,0)</f>
        <v>0</v>
      </c>
      <c r="E38" s="14" t="n">
        <f aca="false">IF(AND(E5='Fleet Plan'!$B$12+Assumptions!$F$57-1,OR('Unit Economics'!$F$41=1,SUM('Fleet Plan'!$C$13:$L$13)&gt;0)),Assumptions!$F$58,0)</f>
        <v>350000</v>
      </c>
      <c r="F38" s="14" t="n">
        <f aca="false">IF(AND(F5='Fleet Plan'!$B$12+Assumptions!$F$57-1,OR('Unit Economics'!$F$41=1,SUM('Fleet Plan'!$C$13:$L$13)&gt;0)),Assumptions!$F$58,0)</f>
        <v>0</v>
      </c>
      <c r="G38" s="14" t="n">
        <f aca="false">IF(AND(G5='Fleet Plan'!$B$12+Assumptions!$F$57-1,OR('Unit Economics'!$F$41=1,SUM('Fleet Plan'!$C$13:$L$13)&gt;0)),Assumptions!$F$58,0)</f>
        <v>0</v>
      </c>
      <c r="H38" s="14" t="n">
        <f aca="false">IF(AND(H5='Fleet Plan'!$B$12+Assumptions!$F$57-1,OR('Unit Economics'!$F$41=1,SUM('Fleet Plan'!$C$13:$L$13)&gt;0)),Assumptions!$F$58,0)</f>
        <v>0</v>
      </c>
      <c r="I38" s="14" t="n">
        <f aca="false">IF(AND(I5='Fleet Plan'!$B$12+Assumptions!$F$57-1,OR('Unit Economics'!$F$41=1,SUM('Fleet Plan'!$C$13:$L$13)&gt;0)),Assumptions!$F$58,0)</f>
        <v>0</v>
      </c>
      <c r="J38" s="14" t="n">
        <f aca="false">IF(AND(J5='Fleet Plan'!$B$12+Assumptions!$F$57-1,OR('Unit Economics'!$F$41=1,SUM('Fleet Plan'!$C$13:$L$13)&gt;0)),Assumptions!$F$58,0)</f>
        <v>0</v>
      </c>
      <c r="K38" s="14" t="n">
        <f aca="false">IF(AND(K5='Fleet Plan'!$B$12+Assumptions!$F$57-1,OR('Unit Economics'!$F$41=1,SUM('Fleet Plan'!$C$13:$L$13)&gt;0)),Assumptions!$F$58,0)</f>
        <v>0</v>
      </c>
      <c r="L38" s="14" t="n">
        <f aca="false">IF(AND(L5='Fleet Plan'!$B$12+Assumptions!$F$57-1,OR('Unit Economics'!$F$41=1,SUM('Fleet Plan'!$C$13:$L$13)&gt;0)),Assumptions!$F$58,0)</f>
        <v>0</v>
      </c>
    </row>
    <row r="39" customFormat="false" ht="15" hidden="false" customHeight="false" outlineLevel="0" collapsed="false">
      <c r="A39" s="6" t="s">
        <v>334</v>
      </c>
      <c r="C39" s="14" t="n">
        <f aca="false">'Debt Mgmt'!C106</f>
        <v>667000</v>
      </c>
      <c r="D39" s="14" t="n">
        <f aca="false">'Debt Mgmt'!D106</f>
        <v>640963.887871814</v>
      </c>
      <c r="E39" s="14" t="n">
        <f aca="false">'Debt Mgmt'!E106</f>
        <v>613040.157614334</v>
      </c>
      <c r="F39" s="14" t="n">
        <f aca="false">'Debt Mgmt'!F106</f>
        <v>0</v>
      </c>
      <c r="G39" s="14" t="n">
        <f aca="false">'Debt Mgmt'!G106</f>
        <v>0</v>
      </c>
      <c r="H39" s="14" t="n">
        <f aca="false">'Debt Mgmt'!H106</f>
        <v>0</v>
      </c>
      <c r="I39" s="14" t="n">
        <f aca="false">'Debt Mgmt'!I106</f>
        <v>0</v>
      </c>
      <c r="J39" s="14" t="n">
        <f aca="false">'Debt Mgmt'!J106</f>
        <v>0</v>
      </c>
      <c r="K39" s="14" t="n">
        <f aca="false">'Debt Mgmt'!K106</f>
        <v>0</v>
      </c>
      <c r="L39" s="14" t="n">
        <f aca="false">'Debt Mgmt'!L106</f>
        <v>0</v>
      </c>
    </row>
    <row r="40" customFormat="false" ht="15" hidden="false" customHeight="false" outlineLevel="0" collapsed="false">
      <c r="A40" s="6" t="s">
        <v>381</v>
      </c>
      <c r="C40" s="14" t="n">
        <f aca="false">'Debt Mgmt'!C107</f>
        <v>359118.787974984</v>
      </c>
      <c r="D40" s="14" t="n">
        <f aca="false">'Debt Mgmt'!D107</f>
        <v>385154.90010317</v>
      </c>
      <c r="E40" s="14" t="n">
        <f aca="false">'Debt Mgmt'!E107</f>
        <v>413078.63036065</v>
      </c>
      <c r="F40" s="14" t="n">
        <f aca="false">'Debt Mgmt'!F107</f>
        <v>0</v>
      </c>
      <c r="G40" s="14" t="n">
        <f aca="false">'Debt Mgmt'!G107</f>
        <v>0</v>
      </c>
      <c r="H40" s="14" t="n">
        <f aca="false">'Debt Mgmt'!H107</f>
        <v>0</v>
      </c>
      <c r="I40" s="14" t="n">
        <f aca="false">'Debt Mgmt'!I107</f>
        <v>0</v>
      </c>
      <c r="J40" s="14" t="n">
        <f aca="false">'Debt Mgmt'!J107</f>
        <v>0</v>
      </c>
      <c r="K40" s="14" t="n">
        <f aca="false">'Debt Mgmt'!K107</f>
        <v>0</v>
      </c>
      <c r="L40" s="14" t="n">
        <f aca="false">'Debt Mgmt'!L107</f>
        <v>0</v>
      </c>
    </row>
    <row r="41" customFormat="false" ht="15" hidden="false" customHeight="false" outlineLevel="0" collapsed="false">
      <c r="A41" s="6" t="s">
        <v>382</v>
      </c>
      <c r="C41" s="14" t="n">
        <f aca="false">'Debt Mgmt'!C111</f>
        <v>0</v>
      </c>
      <c r="D41" s="14" t="n">
        <f aca="false">'Debt Mgmt'!D111</f>
        <v>0</v>
      </c>
      <c r="E41" s="14" t="n">
        <f aca="false">'Debt Mgmt'!E111</f>
        <v>9654805.96421746</v>
      </c>
      <c r="F41" s="14" t="n">
        <f aca="false">'Debt Mgmt'!F111</f>
        <v>0</v>
      </c>
      <c r="G41" s="14" t="n">
        <f aca="false">'Debt Mgmt'!G111</f>
        <v>0</v>
      </c>
      <c r="H41" s="14" t="n">
        <f aca="false">'Debt Mgmt'!H111</f>
        <v>0</v>
      </c>
      <c r="I41" s="14" t="n">
        <f aca="false">'Debt Mgmt'!I111</f>
        <v>0</v>
      </c>
      <c r="J41" s="14" t="n">
        <f aca="false">'Debt Mgmt'!J111</f>
        <v>0</v>
      </c>
      <c r="K41" s="14" t="n">
        <f aca="false">'Debt Mgmt'!K111</f>
        <v>0</v>
      </c>
      <c r="L41" s="14" t="n">
        <f aca="false">'Debt Mgmt'!L111</f>
        <v>0</v>
      </c>
    </row>
    <row r="42" customFormat="false" ht="15" hidden="false" customHeight="false" outlineLevel="0" collapsed="false">
      <c r="A42" s="6" t="s">
        <v>337</v>
      </c>
      <c r="C42" s="14" t="n">
        <f aca="false">'Debt Mgmt'!C110</f>
        <v>0</v>
      </c>
      <c r="D42" s="14" t="n">
        <f aca="false">'Debt Mgmt'!D110</f>
        <v>0</v>
      </c>
      <c r="E42" s="14" t="n">
        <f aca="false">'Debt Mgmt'!E110</f>
        <v>8042647.6815612</v>
      </c>
      <c r="F42" s="14" t="n">
        <f aca="false">'Debt Mgmt'!F110</f>
        <v>0</v>
      </c>
      <c r="G42" s="14" t="n">
        <f aca="false">'Debt Mgmt'!G110</f>
        <v>0</v>
      </c>
      <c r="H42" s="14" t="n">
        <f aca="false">'Debt Mgmt'!H110</f>
        <v>0</v>
      </c>
      <c r="I42" s="14" t="n">
        <f aca="false">'Debt Mgmt'!I110</f>
        <v>0</v>
      </c>
      <c r="J42" s="14" t="n">
        <f aca="false">'Debt Mgmt'!J110</f>
        <v>0</v>
      </c>
      <c r="K42" s="14" t="n">
        <f aca="false">'Debt Mgmt'!K110</f>
        <v>0</v>
      </c>
      <c r="L42" s="14" t="n">
        <f aca="false">'Debt Mgmt'!L110</f>
        <v>0</v>
      </c>
    </row>
    <row r="43" customFormat="false" ht="15" hidden="false" customHeight="false" outlineLevel="0" collapsed="false">
      <c r="A43" s="11" t="s">
        <v>383</v>
      </c>
      <c r="C43" s="15" t="n">
        <f aca="false">C36-C38-C39-C40+C41-C42</f>
        <v>-1675567.78797498</v>
      </c>
      <c r="D43" s="15" t="n">
        <f aca="false">D36-D38-D39-D40+D41-D42</f>
        <v>-2146601.19797498</v>
      </c>
      <c r="E43" s="15" t="n">
        <f aca="false">E36-E38-E39-E40+E41-E42</f>
        <v>-374418.278818724</v>
      </c>
      <c r="F43" s="15" t="n">
        <f aca="false">F36-F38-F39-F40+F41-F42</f>
        <v>-764908.9</v>
      </c>
      <c r="G43" s="15" t="n">
        <f aca="false">G36-G38-G39-G40+G41-G42</f>
        <v>-450203.524</v>
      </c>
      <c r="H43" s="15" t="n">
        <f aca="false">H36-H38-H39-H40+H41-H42</f>
        <v>-115927.40743</v>
      </c>
      <c r="I43" s="15" t="n">
        <f aca="false">I36-I38-I39-I40+I41-I42</f>
        <v>328364.381545475</v>
      </c>
      <c r="J43" s="15" t="n">
        <f aca="false">J36-J38-J39-J40+J41-J42</f>
        <v>891658.552433031</v>
      </c>
      <c r="K43" s="15" t="n">
        <f aca="false">K36-K38-K39-K40+K41-K42</f>
        <v>1488454.84563045</v>
      </c>
      <c r="L43" s="15" t="n">
        <f aca="false">L36-L38-L39-L40+L41-L42</f>
        <v>2120256.42372252</v>
      </c>
    </row>
    <row r="45" customFormat="false" ht="15" hidden="false" customHeight="false" outlineLevel="0" collapsed="false">
      <c r="A45" s="17" t="s">
        <v>384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385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386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387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388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389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69</v>
      </c>
      <c r="C51" s="14" t="n">
        <f aca="false">C48*Assumptions!$F$69</f>
        <v>115000</v>
      </c>
      <c r="D51" s="14" t="n">
        <f aca="false">D48*Assumptions!$F$69</f>
        <v>0</v>
      </c>
      <c r="E51" s="14" t="n">
        <f aca="false">E48*Assumptions!$F$69</f>
        <v>-115000</v>
      </c>
      <c r="F51" s="14" t="n">
        <f aca="false">F48*Assumptions!$F$69</f>
        <v>0</v>
      </c>
      <c r="G51" s="14" t="n">
        <f aca="false">G48*Assumptions!$F$69</f>
        <v>0</v>
      </c>
      <c r="H51" s="14" t="n">
        <f aca="false">H48*Assumptions!$F$69</f>
        <v>0</v>
      </c>
      <c r="I51" s="14" t="n">
        <f aca="false">I48*Assumptions!$F$69</f>
        <v>0</v>
      </c>
      <c r="J51" s="14" t="n">
        <f aca="false">J48*Assumptions!$F$69</f>
        <v>0</v>
      </c>
      <c r="K51" s="14" t="n">
        <f aca="false">K48*Assumptions!$F$69</f>
        <v>0</v>
      </c>
      <c r="L51" s="14" t="n">
        <f aca="false">L48*Assumptions!$F$69</f>
        <v>0</v>
      </c>
    </row>
    <row r="52" customFormat="false" ht="15" hidden="false" customHeight="false" outlineLevel="0" collapsed="false">
      <c r="A52" s="6" t="s">
        <v>390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391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392</v>
      </c>
      <c r="C55" s="37" t="n">
        <f aca="false">0</f>
        <v>0</v>
      </c>
      <c r="D55" s="37" t="n">
        <f aca="false">C58</f>
        <v>710500</v>
      </c>
      <c r="E55" s="37" t="n">
        <f aca="false">D58</f>
        <v>731815</v>
      </c>
      <c r="F55" s="37" t="n">
        <f aca="false">E58</f>
        <v>3780251.72118128</v>
      </c>
      <c r="G55" s="37" t="n">
        <f aca="false">F58</f>
        <v>3015342.82118128</v>
      </c>
      <c r="H55" s="37" t="n">
        <f aca="false">G58</f>
        <v>2565139.29718128</v>
      </c>
      <c r="I55" s="37" t="n">
        <f aca="false">H58</f>
        <v>2449211.88975128</v>
      </c>
      <c r="J55" s="37" t="n">
        <f aca="false">I58</f>
        <v>2777576.27129675</v>
      </c>
      <c r="K55" s="37" t="n">
        <f aca="false">J58</f>
        <v>3669234.82372978</v>
      </c>
      <c r="L55" s="37" t="n">
        <f aca="false">K58</f>
        <v>5157689.66936023</v>
      </c>
    </row>
    <row r="56" customFormat="false" ht="15" hidden="false" customHeight="false" outlineLevel="0" collapsed="false">
      <c r="A56" s="6" t="s">
        <v>393</v>
      </c>
      <c r="C56" s="14" t="n">
        <f aca="false">C11*'Unit Economics'!$F$40*C8</f>
        <v>710500</v>
      </c>
      <c r="D56" s="14" t="n">
        <f aca="false">D11*'Unit Economics'!$F$40*D8</f>
        <v>731815</v>
      </c>
      <c r="E56" s="14" t="n">
        <f aca="false">E11*'Unit Economics'!$F$40*E8</f>
        <v>0</v>
      </c>
      <c r="F56" s="14" t="n">
        <f aca="false">F11*'Unit Economics'!$F$40*F8</f>
        <v>0</v>
      </c>
      <c r="G56" s="14" t="n">
        <f aca="false">G11*'Unit Economics'!$F$40*G8</f>
        <v>0</v>
      </c>
      <c r="H56" s="14" t="n">
        <f aca="false">H11*'Unit Economics'!$F$40*H8</f>
        <v>0</v>
      </c>
      <c r="I56" s="14" t="n">
        <f aca="false">I11*'Unit Economics'!$F$40*I8</f>
        <v>0</v>
      </c>
      <c r="J56" s="14" t="n">
        <f aca="false">J11*'Unit Economics'!$F$40*J8</f>
        <v>0</v>
      </c>
      <c r="K56" s="14" t="n">
        <f aca="false">K11*'Unit Economics'!$F$40*K8</f>
        <v>0</v>
      </c>
      <c r="L56" s="14" t="n">
        <f aca="false">L11*'Unit Economics'!$F$40*L8</f>
        <v>0</v>
      </c>
    </row>
    <row r="57" customFormat="false" ht="15" hidden="false" customHeight="false" outlineLevel="0" collapsed="false">
      <c r="A57" s="11" t="s">
        <v>394</v>
      </c>
      <c r="C57" s="24" t="n">
        <f aca="false">MAX(0,C56-(C55+C43-C53))</f>
        <v>5876067.78797498</v>
      </c>
      <c r="D57" s="24" t="n">
        <f aca="false">MAX(0,D56-(D55+D43-D53))</f>
        <v>2167916.19797498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395</v>
      </c>
      <c r="C58" s="15" t="n">
        <f aca="false">C55+C43-C53+C57</f>
        <v>710500</v>
      </c>
      <c r="D58" s="15" t="n">
        <f aca="false">D55+D43-D53+D57</f>
        <v>731815</v>
      </c>
      <c r="E58" s="15" t="n">
        <f aca="false">E55+E43-E53+E57</f>
        <v>3780251.72118128</v>
      </c>
      <c r="F58" s="15" t="n">
        <f aca="false">F55+F43-F53+F57</f>
        <v>3015342.82118128</v>
      </c>
      <c r="G58" s="15" t="n">
        <f aca="false">G55+G43-G53+G57</f>
        <v>2565139.29718128</v>
      </c>
      <c r="H58" s="15" t="n">
        <f aca="false">H55+H43-H53+H57</f>
        <v>2449211.88975128</v>
      </c>
      <c r="I58" s="15" t="n">
        <f aca="false">I55+I43-I53+I57</f>
        <v>2777576.27129675</v>
      </c>
      <c r="J58" s="15" t="n">
        <f aca="false">J55+J43-J53+J57</f>
        <v>3669234.82372978</v>
      </c>
      <c r="K58" s="15" t="n">
        <f aca="false">K55+K43-K53+K57</f>
        <v>5157689.66936023</v>
      </c>
      <c r="L58" s="15" t="n">
        <f aca="false">L55+L43-L53+L57</f>
        <v>7277946.09308275</v>
      </c>
    </row>
    <row r="59" customFormat="false" ht="15" hidden="false" customHeight="false" outlineLevel="0" collapsed="false">
      <c r="A59" s="11" t="s">
        <v>396</v>
      </c>
      <c r="C59" s="24" t="n">
        <f aca="false">C57</f>
        <v>5876067.78797498</v>
      </c>
      <c r="D59" s="24" t="n">
        <f aca="false">C59+D57</f>
        <v>8043983.98594997</v>
      </c>
      <c r="E59" s="24" t="n">
        <f aca="false">D59+E57</f>
        <v>8043983.98594997</v>
      </c>
      <c r="F59" s="24" t="n">
        <f aca="false">E59+F57</f>
        <v>8043983.98594997</v>
      </c>
      <c r="G59" s="24" t="n">
        <f aca="false">F59+G57</f>
        <v>8043983.98594997</v>
      </c>
      <c r="H59" s="24" t="n">
        <f aca="false">G59+H57</f>
        <v>8043983.98594997</v>
      </c>
      <c r="I59" s="24" t="n">
        <f aca="false">H59+I57</f>
        <v>8043983.98594997</v>
      </c>
      <c r="J59" s="24" t="n">
        <f aca="false">I59+J57</f>
        <v>8043983.98594997</v>
      </c>
      <c r="K59" s="24" t="n">
        <f aca="false">J59+K57</f>
        <v>8043983.98594997</v>
      </c>
      <c r="L59" s="24" t="n">
        <f aca="false">K59+L57</f>
        <v>8043983.98594997</v>
      </c>
    </row>
    <row r="61" customFormat="false" ht="15" hidden="false" customHeight="false" outlineLevel="0" collapsed="false">
      <c r="A61" s="17" t="s">
        <v>397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398</v>
      </c>
      <c r="C62" s="14" t="n">
        <f aca="false">'Debt Mgmt'!C109</f>
        <v>10810000</v>
      </c>
      <c r="D62" s="14" t="n">
        <f aca="false">'Debt Mgmt'!D109</f>
        <v>10161400</v>
      </c>
      <c r="E62" s="14" t="n">
        <f aca="false">'Debt Mgmt'!E109</f>
        <v>0</v>
      </c>
      <c r="F62" s="14" t="n">
        <f aca="false">'Debt Mgmt'!F109</f>
        <v>0</v>
      </c>
      <c r="G62" s="14" t="n">
        <f aca="false">'Debt Mgmt'!G109</f>
        <v>0</v>
      </c>
      <c r="H62" s="14" t="n">
        <f aca="false">'Debt Mgmt'!H109</f>
        <v>0</v>
      </c>
      <c r="I62" s="14" t="n">
        <f aca="false">'Debt Mgmt'!I109</f>
        <v>0</v>
      </c>
      <c r="J62" s="14" t="n">
        <f aca="false">'Debt Mgmt'!J109</f>
        <v>0</v>
      </c>
      <c r="K62" s="14" t="n">
        <f aca="false">'Debt Mgmt'!K109</f>
        <v>0</v>
      </c>
      <c r="L62" s="14" t="n">
        <f aca="false">'Debt Mgmt'!L109</f>
        <v>0</v>
      </c>
    </row>
    <row r="63" customFormat="false" ht="15" hidden="false" customHeight="false" outlineLevel="0" collapsed="false">
      <c r="A63" s="6" t="s">
        <v>399</v>
      </c>
      <c r="C63" s="14" t="n">
        <f aca="false">'Debt Mgmt'!C108</f>
        <v>8840881.21202502</v>
      </c>
      <c r="D63" s="14" t="n">
        <f aca="false">'Debt Mgmt'!D108</f>
        <v>8455726.31192185</v>
      </c>
      <c r="E63" s="14" t="n">
        <f aca="false">'Debt Mgmt'!E108</f>
        <v>0</v>
      </c>
      <c r="F63" s="14" t="n">
        <f aca="false">'Debt Mgmt'!F108</f>
        <v>0</v>
      </c>
      <c r="G63" s="14" t="n">
        <f aca="false">'Debt Mgmt'!G108</f>
        <v>0</v>
      </c>
      <c r="H63" s="14" t="n">
        <f aca="false">'Debt Mgmt'!H108</f>
        <v>0</v>
      </c>
      <c r="I63" s="14" t="n">
        <f aca="false">'Debt Mgmt'!I108</f>
        <v>0</v>
      </c>
      <c r="J63" s="14" t="n">
        <f aca="false">'Debt Mgmt'!J108</f>
        <v>0</v>
      </c>
      <c r="K63" s="14" t="n">
        <f aca="false">'Debt Mgmt'!K108</f>
        <v>0</v>
      </c>
      <c r="L63" s="14" t="n">
        <f aca="false">'Debt Mgmt'!L108</f>
        <v>0</v>
      </c>
    </row>
    <row r="64" customFormat="false" ht="15" hidden="false" customHeight="false" outlineLevel="0" collapsed="false">
      <c r="A64" s="11" t="s">
        <v>400</v>
      </c>
      <c r="C64" s="15" t="n">
        <f aca="false">C62+C58-C63</f>
        <v>2679618.78797498</v>
      </c>
      <c r="D64" s="15" t="n">
        <f aca="false">D62+D58-D63</f>
        <v>2437488.68807815</v>
      </c>
      <c r="E64" s="15" t="n">
        <f aca="false">E62+E58-E63</f>
        <v>3780251.72118128</v>
      </c>
      <c r="F64" s="15" t="n">
        <f aca="false">F62+F58-F63</f>
        <v>3015342.82118128</v>
      </c>
      <c r="G64" s="15" t="n">
        <f aca="false">G62+G58-G63</f>
        <v>2565139.29718128</v>
      </c>
      <c r="H64" s="15" t="n">
        <f aca="false">H62+H58-H63</f>
        <v>2449211.88975128</v>
      </c>
      <c r="I64" s="15" t="n">
        <f aca="false">I62+I58-I63</f>
        <v>2777576.27129675</v>
      </c>
      <c r="J64" s="15" t="n">
        <f aca="false">J62+J58-J63</f>
        <v>3669234.82372978</v>
      </c>
      <c r="K64" s="15" t="n">
        <f aca="false">K62+K58-K63</f>
        <v>5157689.66936023</v>
      </c>
      <c r="L64" s="15" t="n">
        <f aca="false">L62+L58-L63</f>
        <v>7277946.09308275</v>
      </c>
    </row>
    <row r="65" customFormat="false" ht="15" hidden="false" customHeight="false" outlineLevel="0" collapsed="false">
      <c r="A65" s="6" t="s">
        <v>401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403</v>
      </c>
      <c r="C68" s="14" t="n">
        <f aca="false">C48*Assumptions!$F$77</f>
        <v>11500000</v>
      </c>
      <c r="D68" s="14" t="n">
        <f aca="false">D48*Assumptions!$F$77</f>
        <v>0</v>
      </c>
      <c r="E68" s="14" t="n">
        <f aca="false">E48*Assumptions!$F$77</f>
        <v>-11500000</v>
      </c>
      <c r="F68" s="14" t="n">
        <f aca="false">F48*Assumptions!$F$77</f>
        <v>0</v>
      </c>
      <c r="G68" s="14" t="n">
        <f aca="false">G48*Assumptions!$F$77</f>
        <v>0</v>
      </c>
      <c r="H68" s="14" t="n">
        <f aca="false">H48*Assumptions!$F$77</f>
        <v>0</v>
      </c>
      <c r="I68" s="14" t="n">
        <f aca="false">I48*Assumptions!$F$77</f>
        <v>0</v>
      </c>
      <c r="J68" s="14" t="n">
        <f aca="false">J48*Assumptions!$F$77</f>
        <v>0</v>
      </c>
      <c r="K68" s="14" t="n">
        <f aca="false">K48*Assumptions!$F$77</f>
        <v>0</v>
      </c>
      <c r="L68" s="14" t="n">
        <f aca="false">L48*Assumptions!$F$77</f>
        <v>0</v>
      </c>
    </row>
    <row r="69" customFormat="false" ht="15" hidden="false" customHeight="false" outlineLevel="0" collapsed="false">
      <c r="A69" s="6" t="s">
        <v>404</v>
      </c>
      <c r="C69" s="37" t="n">
        <f aca="false">C36-C38-C39-C51-C52-C68+C41</f>
        <v>-13056449</v>
      </c>
      <c r="D69" s="37" t="n">
        <f aca="false">D36-D38-D39-D51-D52-D68+D41</f>
        <v>-1761446.29787181</v>
      </c>
      <c r="E69" s="37" t="n">
        <f aca="false">E36-E38-E39-E51-E52-E68+E41</f>
        <v>19696308.0331031</v>
      </c>
      <c r="F69" s="37" t="n">
        <f aca="false">F36-F38-F39-F51-F52-F68+F41</f>
        <v>-764908.9</v>
      </c>
      <c r="G69" s="37" t="n">
        <f aca="false">G36-G38-G39-G51-G52-G68+G41</f>
        <v>-450203.524</v>
      </c>
      <c r="H69" s="37" t="n">
        <f aca="false">H36-H38-H39-H51-H52-H68+H41</f>
        <v>-115927.40743</v>
      </c>
      <c r="I69" s="37" t="n">
        <f aca="false">I36-I38-I39-I51-I52-I68+I41</f>
        <v>328364.381545475</v>
      </c>
      <c r="J69" s="37" t="n">
        <f aca="false">J36-J38-J39-J51-J52-J68+J41</f>
        <v>891658.552433031</v>
      </c>
      <c r="K69" s="37" t="n">
        <f aca="false">K36-K38-K39-K51-K52-K68+K41</f>
        <v>1488454.84563045</v>
      </c>
      <c r="L69" s="37" t="n">
        <f aca="false">L36-L38-L39-L51-L52-L68+L41</f>
        <v>2120256.42372252</v>
      </c>
    </row>
    <row r="70" customFormat="false" ht="15" hidden="false" customHeight="false" outlineLevel="0" collapsed="false">
      <c r="A70" s="11" t="s">
        <v>405</v>
      </c>
      <c r="C70" s="7" t="n">
        <f aca="false">-C69*Assumptions!$F$75</f>
        <v>4830886.13</v>
      </c>
      <c r="D70" s="7" t="n">
        <f aca="false">-D69*Assumptions!$F$75</f>
        <v>651735.130212571</v>
      </c>
      <c r="E70" s="7" t="n">
        <f aca="false">-E69*Assumptions!$F$75</f>
        <v>-7287633.97224816</v>
      </c>
      <c r="F70" s="7" t="n">
        <f aca="false">-F69*Assumptions!$F$75</f>
        <v>283016.293</v>
      </c>
      <c r="G70" s="7" t="n">
        <f aca="false">-G69*Assumptions!$F$75</f>
        <v>166575.30388</v>
      </c>
      <c r="H70" s="7" t="n">
        <f aca="false">-H69*Assumptions!$F$75</f>
        <v>42893.1407491001</v>
      </c>
      <c r="I70" s="7" t="n">
        <f aca="false">-I69*Assumptions!$F$75</f>
        <v>-121494.821171826</v>
      </c>
      <c r="J70" s="7" t="n">
        <f aca="false">-J69*Assumptions!$F$75</f>
        <v>-329913.664400221</v>
      </c>
      <c r="K70" s="7" t="n">
        <f aca="false">-K69*Assumptions!$F$75</f>
        <v>-550728.292883266</v>
      </c>
      <c r="L70" s="7" t="n">
        <f aca="false">-L69*Assumptions!$F$75</f>
        <v>-784494.876777333</v>
      </c>
    </row>
    <row r="71" customFormat="false" ht="15" hidden="false" customHeight="false" outlineLevel="0" collapsed="false">
      <c r="A71" s="2" t="s">
        <v>406</v>
      </c>
    </row>
    <row r="73" customFormat="false" ht="15" hidden="false" customHeight="false" outlineLevel="0" collapsed="false">
      <c r="A73" s="17" t="s">
        <v>407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250</v>
      </c>
      <c r="C74" s="42" t="n">
        <f aca="false">Assumptions!$F$71</f>
        <v>2036</v>
      </c>
    </row>
    <row r="75" customFormat="false" ht="15" hidden="false" customHeight="false" outlineLevel="0" collapsed="false">
      <c r="A75" s="6" t="s">
        <v>398</v>
      </c>
      <c r="C75" s="14" t="n">
        <f aca="false">INDEX($C$62:$L$62,MATCH(Assumptions!$F$71,$C$5:$L$5,0))</f>
        <v>0</v>
      </c>
    </row>
    <row r="76" customFormat="false" ht="15" hidden="false" customHeight="false" outlineLevel="0" collapsed="false">
      <c r="A76" s="6" t="s">
        <v>408</v>
      </c>
      <c r="C76" s="14" t="n">
        <f aca="false">-C75*Assumptions!$F$73</f>
        <v>-0</v>
      </c>
    </row>
    <row r="77" customFormat="false" ht="15" hidden="false" customHeight="false" outlineLevel="0" collapsed="false">
      <c r="A77" s="6" t="s">
        <v>409</v>
      </c>
      <c r="C77" s="14" t="n">
        <f aca="false">INDEX($C$22:$L$22,MATCH(Assumptions!$F$71,$C$5:$L$5,0))</f>
        <v>4305751.50663651</v>
      </c>
    </row>
    <row r="78" customFormat="false" ht="15" hidden="false" customHeight="false" outlineLevel="0" collapsed="false">
      <c r="A78" s="6" t="s">
        <v>410</v>
      </c>
      <c r="C78" s="14" t="n">
        <f aca="false">C77*Assumptions!$F$72</f>
        <v>25834509.039819</v>
      </c>
    </row>
    <row r="79" customFormat="false" ht="15" hidden="false" customHeight="false" outlineLevel="0" collapsed="false">
      <c r="A79" s="6" t="s">
        <v>411</v>
      </c>
      <c r="C79" s="37" t="n">
        <f aca="false">C75+C76+C78</f>
        <v>25834509.039819</v>
      </c>
    </row>
    <row r="80" customFormat="false" ht="15" hidden="false" customHeight="false" outlineLevel="0" collapsed="false">
      <c r="A80" s="6" t="s">
        <v>412</v>
      </c>
      <c r="C80" s="14" t="n">
        <f aca="false">-INDEX($C$63:$L$63,MATCH(Assumptions!$F$71,$C$5:$L$5,0))</f>
        <v>-0</v>
      </c>
    </row>
    <row r="81" customFormat="false" ht="15" hidden="false" customHeight="false" outlineLevel="0" collapsed="false">
      <c r="A81" s="6" t="s">
        <v>413</v>
      </c>
      <c r="C81" s="14" t="n">
        <f aca="false">INDEX($C$58:$L$58,MATCH(Assumptions!$F$71,$C$5:$L$5,0))</f>
        <v>7277946.09308275</v>
      </c>
    </row>
    <row r="82" customFormat="false" ht="15" hidden="false" customHeight="false" outlineLevel="0" collapsed="false">
      <c r="A82" s="11" t="s">
        <v>414</v>
      </c>
      <c r="C82" s="24" t="n">
        <f aca="false">C79+C80+C81</f>
        <v>33112455.1329018</v>
      </c>
    </row>
    <row r="83" customFormat="false" ht="15" hidden="false" customHeight="false" outlineLevel="0" collapsed="false">
      <c r="A83" s="6" t="s">
        <v>415</v>
      </c>
      <c r="C83" s="14" t="n">
        <f aca="false">SUMPRODUCT(($C$5:$L$5&lt;=Assumptions!$F$71)*$C$57:$L$57)</f>
        <v>8043983.98594997</v>
      </c>
    </row>
    <row r="84" customFormat="false" ht="15" hidden="false" customHeight="false" outlineLevel="0" collapsed="false">
      <c r="A84" s="6" t="s">
        <v>416</v>
      </c>
      <c r="C84" s="14" t="n">
        <f aca="false">SUMPRODUCT(($C$5:$L$5&lt;=Assumptions!$F$71)*$C$57:$L$57*((1+Assumptions!$F$67)^(Assumptions!$F$71-$C$5:$L$5)-1))</f>
        <v>7714964.29558267</v>
      </c>
    </row>
    <row r="85" customFormat="false" ht="15" hidden="false" customHeight="false" outlineLevel="0" collapsed="false">
      <c r="A85" s="6" t="s">
        <v>417</v>
      </c>
      <c r="C85" s="37" t="n">
        <f aca="false">MIN(MAX(C82,0),C83)</f>
        <v>8043983.98594997</v>
      </c>
    </row>
    <row r="86" customFormat="false" ht="15" hidden="false" customHeight="false" outlineLevel="0" collapsed="false">
      <c r="A86" s="6" t="s">
        <v>418</v>
      </c>
      <c r="C86" s="37" t="n">
        <f aca="false">MIN(MAX(C82,0)-C85,C84)</f>
        <v>7714964.29558267</v>
      </c>
    </row>
    <row r="87" customFormat="false" ht="15" hidden="false" customHeight="false" outlineLevel="0" collapsed="false">
      <c r="A87" s="6" t="s">
        <v>419</v>
      </c>
      <c r="C87" s="37" t="n">
        <f aca="false">MAX(C82,0)-C85-C86</f>
        <v>17353506.8513692</v>
      </c>
    </row>
    <row r="88" customFormat="false" ht="15" hidden="false" customHeight="false" outlineLevel="0" collapsed="false">
      <c r="A88" s="11" t="s">
        <v>420</v>
      </c>
      <c r="C88" s="7" t="n">
        <f aca="false">(C85+C86+C87*Assumptions!$F$68)*(1-Assumptions!$F$66)</f>
        <v>29641753.762628</v>
      </c>
    </row>
    <row r="89" customFormat="false" ht="15" hidden="false" customHeight="false" outlineLevel="0" collapsed="false">
      <c r="A89" s="11" t="s">
        <v>421</v>
      </c>
      <c r="C89" s="7" t="n">
        <f aca="false">(C85+C86+C87*Assumptions!$F$68)*Assumptions!$F$66+C87*(1-Assumptions!$F$68)</f>
        <v>3470701.37027383</v>
      </c>
    </row>
    <row r="90" customFormat="false" ht="15" hidden="false" customHeight="false" outlineLevel="0" collapsed="false">
      <c r="A90" s="6" t="s">
        <v>422</v>
      </c>
      <c r="C90" s="14" t="n">
        <f aca="false">SUMPRODUCT(($C$5:$L$5&lt;=Assumptions!$F$71)*$C$51:$L$51)</f>
        <v>0</v>
      </c>
    </row>
    <row r="91" customFormat="false" ht="15" hidden="false" customHeight="false" outlineLevel="0" collapsed="false">
      <c r="A91" s="11" t="s">
        <v>423</v>
      </c>
      <c r="C91" s="9" t="n">
        <f aca="false">IF(C83=0,0,C88/(C83*(1-Assumptions!$F$66)))</f>
        <v>3.68495932045635</v>
      </c>
    </row>
    <row r="92" customFormat="false" ht="15" hidden="false" customHeight="false" outlineLevel="0" collapsed="false">
      <c r="A92" s="11" t="s">
        <v>424</v>
      </c>
      <c r="C92" s="26" t="n">
        <f aca="false">IFERROR(IRR($C$102:$L$102,0.1),IFERROR(IRR($C$102:$L$102,-0.1),"n/a"))</f>
        <v>0.160842812193831</v>
      </c>
    </row>
    <row r="93" customFormat="false" ht="15" hidden="false" customHeight="false" outlineLevel="0" collapsed="false">
      <c r="A93" s="11" t="s">
        <v>425</v>
      </c>
      <c r="C93" s="26" t="n">
        <f aca="false">IFERROR(IRR($C$103:$L$103,0.1),IFERROR(IRR($C$103:$L$103,-0.1),"n/a"))</f>
        <v>0.11771437933725</v>
      </c>
    </row>
    <row r="94" customFormat="false" ht="15" hidden="false" customHeight="false" outlineLevel="0" collapsed="false">
      <c r="A94" s="6" t="s">
        <v>426</v>
      </c>
      <c r="C94" s="48" t="n">
        <f aca="false">IF(C83=0,0,(C88+SUMPRODUCT(($C$5:$L$5&lt;=Assumptions!$F$71)*$C$70:$L$70)*(1-Assumptions!$F$66)+C97)/(C83*(1-Assumptions!$F$66)))</f>
        <v>2.53530850100312</v>
      </c>
    </row>
    <row r="95" customFormat="false" ht="15" hidden="false" customHeight="false" outlineLevel="0" collapsed="false">
      <c r="A95" s="6" t="s">
        <v>427</v>
      </c>
      <c r="C95" s="16" t="n">
        <f aca="false">IFERROR(IRR($C$101:$L$101,0.1),IFERROR(IRR($C$101:$L$101,-0.1),"n/a"))</f>
        <v>0.175608904023635</v>
      </c>
    </row>
    <row r="96" customFormat="false" ht="15" hidden="false" customHeight="false" outlineLevel="0" collapsed="false">
      <c r="A96" s="6" t="s">
        <v>428</v>
      </c>
      <c r="C96" s="37" t="n">
        <f aca="false">MAX($C$59:$L$59)</f>
        <v>8043983.98594997</v>
      </c>
    </row>
    <row r="97" customFormat="false" ht="15" hidden="false" customHeight="false" outlineLevel="0" collapsed="false">
      <c r="A97" s="6" t="s">
        <v>429</v>
      </c>
      <c r="C97" s="14" t="n">
        <f aca="false">-(MAX(0,C75+C76)*Assumptions!$F$75+C78*Assumptions!$F$76)*(1-Assumptions!$F$66)</f>
        <v>-6148613.15147693</v>
      </c>
    </row>
    <row r="99" customFormat="false" ht="15" hidden="false" customHeight="false" outlineLevel="0" collapsed="false">
      <c r="A99" s="17" t="s">
        <v>430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431</v>
      </c>
      <c r="C100" s="21" t="n">
        <f aca="false">IF(C5=Assumptions!$F$71,1,0)</f>
        <v>0</v>
      </c>
      <c r="D100" s="21" t="n">
        <f aca="false">IF(D5=Assumptions!$F$71,1,0)</f>
        <v>0</v>
      </c>
      <c r="E100" s="21" t="n">
        <f aca="false">IF(E5=Assumptions!$F$71,1,0)</f>
        <v>0</v>
      </c>
      <c r="F100" s="21" t="n">
        <f aca="false">IF(F5=Assumptions!$F$71,1,0)</f>
        <v>0</v>
      </c>
      <c r="G100" s="21" t="n">
        <f aca="false">IF(G5=Assumptions!$F$71,1,0)</f>
        <v>0</v>
      </c>
      <c r="H100" s="21" t="n">
        <f aca="false">IF(H5=Assumptions!$F$71,1,0)</f>
        <v>0</v>
      </c>
      <c r="I100" s="21" t="n">
        <f aca="false">IF(I5=Assumptions!$F$71,1,0)</f>
        <v>0</v>
      </c>
      <c r="J100" s="21" t="n">
        <f aca="false">IF(J5=Assumptions!$F$71,1,0)</f>
        <v>0</v>
      </c>
      <c r="K100" s="21" t="n">
        <f aca="false">IF(K5=Assumptions!$F$71,1,0)</f>
        <v>0</v>
      </c>
      <c r="L100" s="21" t="n">
        <f aca="false">IF(L5=Assumptions!$F$71,1,0)</f>
        <v>1</v>
      </c>
    </row>
    <row r="101" customFormat="false" ht="15" hidden="false" customHeight="false" outlineLevel="0" collapsed="false">
      <c r="A101" s="6" t="s">
        <v>432</v>
      </c>
      <c r="C101" s="14" t="n">
        <f aca="false">IF(C5&gt;Assumptions!$F$71,0,-C57+C100*$C$82)</f>
        <v>-5876067.78797498</v>
      </c>
      <c r="D101" s="14" t="n">
        <f aca="false">IF(D5&gt;Assumptions!$F$71,0,-D57+D100*$C$82)</f>
        <v>-2167916.19797498</v>
      </c>
      <c r="E101" s="14" t="n">
        <f aca="false">IF(E5&gt;Assumptions!$F$71,0,-E57+E100*$C$82)</f>
        <v>0</v>
      </c>
      <c r="F101" s="14" t="n">
        <f aca="false">IF(F5&gt;Assumptions!$F$71,0,-F57+F100*$C$82)</f>
        <v>0</v>
      </c>
      <c r="G101" s="14" t="n">
        <f aca="false">IF(G5&gt;Assumptions!$F$71,0,-G57+G100*$C$82)</f>
        <v>0</v>
      </c>
      <c r="H101" s="14" t="n">
        <f aca="false">IF(H5&gt;Assumptions!$F$71,0,-H57+H100*$C$82)</f>
        <v>0</v>
      </c>
      <c r="I101" s="14" t="n">
        <f aca="false">IF(I5&gt;Assumptions!$F$71,0,-I57+I100*$C$82)</f>
        <v>0</v>
      </c>
      <c r="J101" s="14" t="n">
        <f aca="false">IF(J5&gt;Assumptions!$F$71,0,-J57+J100*$C$82)</f>
        <v>0</v>
      </c>
      <c r="K101" s="14" t="n">
        <f aca="false">IF(K5&gt;Assumptions!$F$71,0,-K57+K100*$C$82)</f>
        <v>0</v>
      </c>
      <c r="L101" s="14" t="n">
        <f aca="false">IF(L5&gt;Assumptions!$F$71,0,-L57+L100*$C$82)</f>
        <v>33112455.1329018</v>
      </c>
    </row>
    <row r="102" customFormat="false" ht="15" hidden="false" customHeight="false" outlineLevel="0" collapsed="false">
      <c r="A102" s="11" t="s">
        <v>433</v>
      </c>
      <c r="C102" s="7" t="n">
        <f aca="false">IF(C5&gt;Assumptions!$F$71,0,-C57*(1-Assumptions!$F$66)+C100*$C$88)</f>
        <v>-5876067.78797498</v>
      </c>
      <c r="D102" s="7" t="n">
        <f aca="false">IF(D5&gt;Assumptions!$F$71,0,-D57*(1-Assumptions!$F$66)+D100*$C$88)</f>
        <v>-2167916.19797498</v>
      </c>
      <c r="E102" s="7" t="n">
        <f aca="false">IF(E5&gt;Assumptions!$F$71,0,-E57*(1-Assumptions!$F$66)+E100*$C$88)</f>
        <v>0</v>
      </c>
      <c r="F102" s="7" t="n">
        <f aca="false">IF(F5&gt;Assumptions!$F$71,0,-F57*(1-Assumptions!$F$66)+F100*$C$88)</f>
        <v>0</v>
      </c>
      <c r="G102" s="7" t="n">
        <f aca="false">IF(G5&gt;Assumptions!$F$71,0,-G57*(1-Assumptions!$F$66)+G100*$C$88)</f>
        <v>0</v>
      </c>
      <c r="H102" s="7" t="n">
        <f aca="false">IF(H5&gt;Assumptions!$F$71,0,-H57*(1-Assumptions!$F$66)+H100*$C$88)</f>
        <v>0</v>
      </c>
      <c r="I102" s="7" t="n">
        <f aca="false">IF(I5&gt;Assumptions!$F$71,0,-I57*(1-Assumptions!$F$66)+I100*$C$88)</f>
        <v>0</v>
      </c>
      <c r="J102" s="7" t="n">
        <f aca="false">IF(J5&gt;Assumptions!$F$71,0,-J57*(1-Assumptions!$F$66)+J100*$C$88)</f>
        <v>0</v>
      </c>
      <c r="K102" s="7" t="n">
        <f aca="false">IF(K5&gt;Assumptions!$F$71,0,-K57*(1-Assumptions!$F$66)+K100*$C$88)</f>
        <v>0</v>
      </c>
      <c r="L102" s="7" t="n">
        <f aca="false">IF(L5&gt;Assumptions!$F$71,0,-L57*(1-Assumptions!$F$66)+L100*$C$88)</f>
        <v>29641753.762628</v>
      </c>
    </row>
    <row r="103" customFormat="false" ht="15" hidden="false" customHeight="false" outlineLevel="0" collapsed="false">
      <c r="A103" s="6" t="s">
        <v>434</v>
      </c>
      <c r="C103" s="14" t="n">
        <f aca="false">IF(C5&gt;Assumptions!$F$71,0,C102+C70*(1-Assumptions!$F$66)+C100*$C$97)</f>
        <v>-1045181.65797498</v>
      </c>
      <c r="D103" s="14" t="n">
        <f aca="false">IF(D5&gt;Assumptions!$F$71,0,D102+D70*(1-Assumptions!$F$66)+D100*$C$97)</f>
        <v>-1516181.06776241</v>
      </c>
      <c r="E103" s="14" t="n">
        <f aca="false">IF(E5&gt;Assumptions!$F$71,0,E102+E70*(1-Assumptions!$F$66)+E100*$C$97)</f>
        <v>-7287633.97224816</v>
      </c>
      <c r="F103" s="14" t="n">
        <f aca="false">IF(F5&gt;Assumptions!$F$71,0,F102+F70*(1-Assumptions!$F$66)+F100*$C$97)</f>
        <v>283016.293</v>
      </c>
      <c r="G103" s="14" t="n">
        <f aca="false">IF(G5&gt;Assumptions!$F$71,0,G102+G70*(1-Assumptions!$F$66)+G100*$C$97)</f>
        <v>166575.30388</v>
      </c>
      <c r="H103" s="14" t="n">
        <f aca="false">IF(H5&gt;Assumptions!$F$71,0,H102+H70*(1-Assumptions!$F$66)+H100*$C$97)</f>
        <v>42893.1407491001</v>
      </c>
      <c r="I103" s="14" t="n">
        <f aca="false">IF(I5&gt;Assumptions!$F$71,0,I102+I70*(1-Assumptions!$F$66)+I100*$C$97)</f>
        <v>-121494.821171826</v>
      </c>
      <c r="J103" s="14" t="n">
        <f aca="false">IF(J5&gt;Assumptions!$F$71,0,J102+J70*(1-Assumptions!$F$66)+J100*$C$97)</f>
        <v>-329913.664400221</v>
      </c>
      <c r="K103" s="14" t="n">
        <f aca="false">IF(K5&gt;Assumptions!$F$71,0,K102+K70*(1-Assumptions!$F$66)+K100*$C$97)</f>
        <v>-550728.292883266</v>
      </c>
      <c r="L103" s="14" t="n">
        <f aca="false">IF(L5&gt;Assumptions!$F$71,0,L102+L70*(1-Assumptions!$F$66)+L100*$C$97)</f>
        <v>22708645.7343737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327</v>
      </c>
    </row>
    <row r="4" customFormat="false" ht="15" hidden="false" customHeight="false" outlineLevel="0" collapsed="false">
      <c r="A4" s="4" t="s">
        <v>95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329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330</v>
      </c>
      <c r="B8" s="42" t="n">
        <f aca="false">2027+COUNTIF('Fleet Plan'!$C$20:$L$20,"&lt;1")</f>
        <v>2027</v>
      </c>
    </row>
    <row r="9" customFormat="false" ht="15" hidden="false" customHeight="false" outlineLevel="0" collapsed="false">
      <c r="A9" s="6" t="s">
        <v>331</v>
      </c>
      <c r="B9" s="14" t="n">
        <f aca="false">IF($B$8&gt;2036,0,Assumptions!$F$7*(1+Assumptions!$F$8)^($B$8-2027))</f>
        <v>11500000</v>
      </c>
    </row>
    <row r="10" customFormat="false" ht="15" hidden="false" customHeight="false" outlineLevel="0" collapsed="false">
      <c r="A10" s="6" t="s">
        <v>274</v>
      </c>
      <c r="B10" s="14" t="n">
        <f aca="false">$B$9*Assumptions!$F$18</f>
        <v>9200000</v>
      </c>
    </row>
    <row r="11" customFormat="false" ht="15" hidden="false" customHeight="false" outlineLevel="0" collapsed="false">
      <c r="A11" s="6" t="s">
        <v>332</v>
      </c>
      <c r="B11" s="14" t="n">
        <f aca="false">IF($B$10=0,0,PMT(Assumptions!$F$19,Assumptions!$F$20,-$B$10))</f>
        <v>1026118.78797498</v>
      </c>
    </row>
    <row r="12" customFormat="false" ht="15" hidden="false" customHeight="false" outlineLevel="0" collapsed="false">
      <c r="A12" s="6" t="s">
        <v>333</v>
      </c>
      <c r="C12" s="14" t="n">
        <f aca="false">IF(C$5=$B$8,$B$10,IF(AND(C$5&gt;$B$8,C$5&lt;=IF('Unit Economics'!$F$41=1,9999,Assumptions!$F$64)),0,0))</f>
        <v>9200000</v>
      </c>
      <c r="D12" s="14" t="n">
        <f aca="false">IF(D$5=$B$8,$B$10,IF(AND(D$5&gt;$B$8,D$5&lt;=IF('Unit Economics'!$F$41=1,9999,Assumptions!$F$64)),C17,0))</f>
        <v>8840881.21202502</v>
      </c>
      <c r="E12" s="14" t="n">
        <f aca="false">IF(E$5=$B$8,$B$10,IF(AND(E$5&gt;$B$8,E$5&lt;=IF('Unit Economics'!$F$41=1,9999,Assumptions!$F$64)),D17,0))</f>
        <v>8455726.31192185</v>
      </c>
      <c r="F12" s="14" t="n">
        <f aca="false">IF(F$5=$B$8,$B$10,IF(AND(F$5&gt;$B$8,F$5&lt;=IF('Unit Economics'!$F$41=1,9999,Assumptions!$F$64)),E17,0))</f>
        <v>0</v>
      </c>
      <c r="G12" s="14" t="n">
        <f aca="false">IF(G$5=$B$8,$B$10,IF(AND(G$5&gt;$B$8,G$5&lt;=IF('Unit Economics'!$F$41=1,9999,Assumptions!$F$64)),F17,0))</f>
        <v>0</v>
      </c>
      <c r="H12" s="14" t="n">
        <f aca="false">IF(H$5=$B$8,$B$10,IF(AND(H$5&gt;$B$8,H$5&lt;=IF('Unit Economics'!$F$41=1,9999,Assumptions!$F$64)),G17,0))</f>
        <v>0</v>
      </c>
      <c r="I12" s="14" t="n">
        <f aca="false">IF(I$5=$B$8,$B$10,IF(AND(I$5&gt;$B$8,I$5&lt;=IF('Unit Economics'!$F$41=1,9999,Assumptions!$F$64)),H17,0))</f>
        <v>0</v>
      </c>
      <c r="J12" s="14" t="n">
        <f aca="false">IF(J$5=$B$8,$B$10,IF(AND(J$5&gt;$B$8,J$5&lt;=IF('Unit Economics'!$F$41=1,9999,Assumptions!$F$64)),I17,0))</f>
        <v>0</v>
      </c>
      <c r="K12" s="14" t="n">
        <f aca="false">IF(K$5=$B$8,$B$10,IF(AND(K$5&gt;$B$8,K$5&lt;=IF('Unit Economics'!$F$41=1,9999,Assumptions!$F$64)),J17,0))</f>
        <v>0</v>
      </c>
      <c r="L12" s="14" t="n">
        <f aca="false">IF(L$5=$B$8,$B$10,IF(AND(L$5&gt;$B$8,L$5&lt;=IF('Unit Economics'!$F$41=1,9999,Assumptions!$F$64)),K17,0))</f>
        <v>0</v>
      </c>
    </row>
    <row r="13" customFormat="false" ht="15" hidden="false" customHeight="false" outlineLevel="0" collapsed="false">
      <c r="A13" s="6" t="s">
        <v>334</v>
      </c>
      <c r="C13" s="14" t="n">
        <f aca="false">C12*Assumptions!$F$19</f>
        <v>667000</v>
      </c>
      <c r="D13" s="14" t="n">
        <f aca="false">D12*Assumptions!$F$19</f>
        <v>640963.887871814</v>
      </c>
      <c r="E13" s="14" t="n">
        <f aca="false">E12*Assumptions!$F$19</f>
        <v>613040.157614334</v>
      </c>
      <c r="F13" s="14" t="n">
        <f aca="false">F12*Assumptions!$F$19</f>
        <v>0</v>
      </c>
      <c r="G13" s="14" t="n">
        <f aca="false">G12*Assumptions!$F$19</f>
        <v>0</v>
      </c>
      <c r="H13" s="14" t="n">
        <f aca="false">H12*Assumptions!$F$19</f>
        <v>0</v>
      </c>
      <c r="I13" s="14" t="n">
        <f aca="false">I12*Assumptions!$F$19</f>
        <v>0</v>
      </c>
      <c r="J13" s="14" t="n">
        <f aca="false">J12*Assumptions!$F$19</f>
        <v>0</v>
      </c>
      <c r="K13" s="14" t="n">
        <f aca="false">K12*Assumptions!$F$19</f>
        <v>0</v>
      </c>
      <c r="L13" s="14" t="n">
        <f aca="false">L12*Assumptions!$F$19</f>
        <v>0</v>
      </c>
    </row>
    <row r="14" customFormat="false" ht="15" hidden="false" customHeight="false" outlineLevel="0" collapsed="false">
      <c r="A14" s="6" t="s">
        <v>335</v>
      </c>
      <c r="C14" s="37" t="n">
        <f aca="false">IF(C12&gt;0,MIN($B$11,C12+C13),0)</f>
        <v>1026118.78797498</v>
      </c>
      <c r="D14" s="37" t="n">
        <f aca="false">IF(D12&gt;0,MIN($B$11,D12+D13),0)</f>
        <v>1026118.78797498</v>
      </c>
      <c r="E14" s="37" t="n">
        <f aca="false">IF(E12&gt;0,MIN($B$11,E12+E13),0)</f>
        <v>1026118.78797498</v>
      </c>
      <c r="F14" s="37" t="n">
        <f aca="false">IF(F12&gt;0,MIN($B$11,F12+F13),0)</f>
        <v>0</v>
      </c>
      <c r="G14" s="37" t="n">
        <f aca="false">IF(G12&gt;0,MIN($B$11,G12+G13),0)</f>
        <v>0</v>
      </c>
      <c r="H14" s="37" t="n">
        <f aca="false">IF(H12&gt;0,MIN($B$11,H12+H13),0)</f>
        <v>0</v>
      </c>
      <c r="I14" s="37" t="n">
        <f aca="false">IF(I12&gt;0,MIN($B$11,I12+I13),0)</f>
        <v>0</v>
      </c>
      <c r="J14" s="37" t="n">
        <f aca="false">IF(J12&gt;0,MIN($B$11,J12+J13),0)</f>
        <v>0</v>
      </c>
      <c r="K14" s="37" t="n">
        <f aca="false">IF(K12&gt;0,MIN($B$11,K12+K13),0)</f>
        <v>0</v>
      </c>
      <c r="L14" s="37" t="n">
        <f aca="false">IF(L12&gt;0,MIN($B$11,L12+L13),0)</f>
        <v>0</v>
      </c>
    </row>
    <row r="15" customFormat="false" ht="15" hidden="false" customHeight="false" outlineLevel="0" collapsed="false">
      <c r="A15" s="6" t="s">
        <v>336</v>
      </c>
      <c r="C15" s="37" t="n">
        <f aca="false">C14-C13</f>
        <v>359118.787974984</v>
      </c>
      <c r="D15" s="37" t="n">
        <f aca="false">D14-D13</f>
        <v>385154.90010317</v>
      </c>
      <c r="E15" s="37" t="n">
        <f aca="false">E14-E13</f>
        <v>413078.63036065</v>
      </c>
      <c r="F15" s="37" t="n">
        <f aca="false">F14-F13</f>
        <v>0</v>
      </c>
      <c r="G15" s="37" t="n">
        <f aca="false">G14-G13</f>
        <v>0</v>
      </c>
      <c r="H15" s="37" t="n">
        <f aca="false">H14-H13</f>
        <v>0</v>
      </c>
      <c r="I15" s="37" t="n">
        <f aca="false">I14-I13</f>
        <v>0</v>
      </c>
      <c r="J15" s="37" t="n">
        <f aca="false">J14-J13</f>
        <v>0</v>
      </c>
      <c r="K15" s="37" t="n">
        <f aca="false">K14-K13</f>
        <v>0</v>
      </c>
      <c r="L15" s="37" t="n">
        <f aca="false">L14-L13</f>
        <v>0</v>
      </c>
    </row>
    <row r="16" customFormat="false" ht="15" hidden="false" customHeight="false" outlineLevel="0" collapsed="false">
      <c r="A16" s="6" t="s">
        <v>337</v>
      </c>
      <c r="C16" s="14" t="n">
        <f aca="false">IF(C$5=IF('Unit Economics'!$F$41=1,9999,Assumptions!$F$64),C12-C15,0)</f>
        <v>0</v>
      </c>
      <c r="D16" s="14" t="n">
        <f aca="false">IF(D$5=IF('Unit Economics'!$F$41=1,9999,Assumptions!$F$64),D12-D15,0)</f>
        <v>0</v>
      </c>
      <c r="E16" s="14" t="n">
        <f aca="false">IF(E$5=IF('Unit Economics'!$F$41=1,9999,Assumptions!$F$64),E12-E15,0)</f>
        <v>8042647.6815612</v>
      </c>
      <c r="F16" s="14" t="n">
        <f aca="false">IF(F$5=IF('Unit Economics'!$F$41=1,9999,Assumptions!$F$64),F12-F15,0)</f>
        <v>0</v>
      </c>
      <c r="G16" s="14" t="n">
        <f aca="false">IF(G$5=IF('Unit Economics'!$F$41=1,9999,Assumptions!$F$64),G12-G15,0)</f>
        <v>0</v>
      </c>
      <c r="H16" s="14" t="n">
        <f aca="false">IF(H$5=IF('Unit Economics'!$F$41=1,9999,Assumptions!$F$64),H12-H15,0)</f>
        <v>0</v>
      </c>
      <c r="I16" s="14" t="n">
        <f aca="false">IF(I$5=IF('Unit Economics'!$F$41=1,9999,Assumptions!$F$64),I12-I15,0)</f>
        <v>0</v>
      </c>
      <c r="J16" s="14" t="n">
        <f aca="false">IF(J$5=IF('Unit Economics'!$F$41=1,9999,Assumptions!$F$64),J12-J15,0)</f>
        <v>0</v>
      </c>
      <c r="K16" s="14" t="n">
        <f aca="false">IF(K$5=IF('Unit Economics'!$F$41=1,9999,Assumptions!$F$64),K12-K15,0)</f>
        <v>0</v>
      </c>
      <c r="L16" s="14" t="n">
        <f aca="false">IF(L$5=IF('Unit Economics'!$F$41=1,9999,Assumptions!$F$64),L12-L15,0)</f>
        <v>0</v>
      </c>
    </row>
    <row r="17" customFormat="false" ht="15" hidden="false" customHeight="false" outlineLevel="0" collapsed="false">
      <c r="A17" s="6" t="s">
        <v>338</v>
      </c>
      <c r="C17" s="37" t="n">
        <f aca="false">C12-C15-C16</f>
        <v>8840881.21202502</v>
      </c>
      <c r="D17" s="37" t="n">
        <f aca="false">D12-D15-D16</f>
        <v>8455726.31192185</v>
      </c>
      <c r="E17" s="37" t="n">
        <f aca="false">E12-E15-E16</f>
        <v>0</v>
      </c>
      <c r="F17" s="37" t="n">
        <f aca="false">F12-F15-F16</f>
        <v>0</v>
      </c>
      <c r="G17" s="37" t="n">
        <f aca="false">G12-G15-G16</f>
        <v>0</v>
      </c>
      <c r="H17" s="37" t="n">
        <f aca="false">H12-H15-H16</f>
        <v>0</v>
      </c>
      <c r="I17" s="37" t="n">
        <f aca="false">I12-I15-I16</f>
        <v>0</v>
      </c>
      <c r="J17" s="37" t="n">
        <f aca="false">J12-J15-J16</f>
        <v>0</v>
      </c>
      <c r="K17" s="37" t="n">
        <f aca="false">K12-K15-K16</f>
        <v>0</v>
      </c>
      <c r="L17" s="37" t="n">
        <f aca="false">L12-L15-L16</f>
        <v>0</v>
      </c>
    </row>
    <row r="18" customFormat="false" ht="15" hidden="false" customHeight="false" outlineLevel="0" collapsed="false">
      <c r="A18" s="6" t="s">
        <v>339</v>
      </c>
      <c r="C18" s="14" t="n">
        <f aca="false">IF(AND(C$5&gt;=$B$8,C$5&lt;IF('Unit Economics'!$F$41=1,9999,Assumptions!$F$64)),$B$9*(1-Assumptions!$F$74)^(C$5-$B$8+1),0)</f>
        <v>10810000</v>
      </c>
      <c r="D18" s="14" t="n">
        <f aca="false">IF(AND(D$5&gt;=$B$8,D$5&lt;IF('Unit Economics'!$F$41=1,9999,Assumptions!$F$64)),$B$9*(1-Assumptions!$F$74)^(D$5-$B$8+1),0)</f>
        <v>10161400</v>
      </c>
      <c r="E18" s="14" t="n">
        <f aca="false">IF(AND(E$5&gt;=$B$8,E$5&lt;IF('Unit Economics'!$F$41=1,9999,Assumptions!$F$64)),$B$9*(1-Assumptions!$F$74)^(E$5-$B$8+1),0)</f>
        <v>0</v>
      </c>
      <c r="F18" s="14" t="n">
        <f aca="false">IF(AND(F$5&gt;=$B$8,F$5&lt;IF('Unit Economics'!$F$41=1,9999,Assumptions!$F$64)),$B$9*(1-Assumptions!$F$74)^(F$5-$B$8+1),0)</f>
        <v>0</v>
      </c>
      <c r="G18" s="14" t="n">
        <f aca="false">IF(AND(G$5&gt;=$B$8,G$5&lt;IF('Unit Economics'!$F$41=1,9999,Assumptions!$F$64)),$B$9*(1-Assumptions!$F$74)^(G$5-$B$8+1),0)</f>
        <v>0</v>
      </c>
      <c r="H18" s="14" t="n">
        <f aca="false">IF(AND(H$5&gt;=$B$8,H$5&lt;IF('Unit Economics'!$F$41=1,9999,Assumptions!$F$64)),$B$9*(1-Assumptions!$F$74)^(H$5-$B$8+1),0)</f>
        <v>0</v>
      </c>
      <c r="I18" s="14" t="n">
        <f aca="false">IF(AND(I$5&gt;=$B$8,I$5&lt;IF('Unit Economics'!$F$41=1,9999,Assumptions!$F$64)),$B$9*(1-Assumptions!$F$74)^(I$5-$B$8+1),0)</f>
        <v>0</v>
      </c>
      <c r="J18" s="14" t="n">
        <f aca="false">IF(AND(J$5&gt;=$B$8,J$5&lt;IF('Unit Economics'!$F$41=1,9999,Assumptions!$F$64)),$B$9*(1-Assumptions!$F$74)^(J$5-$B$8+1),0)</f>
        <v>0</v>
      </c>
      <c r="K18" s="14" t="n">
        <f aca="false">IF(AND(K$5&gt;=$B$8,K$5&lt;IF('Unit Economics'!$F$41=1,9999,Assumptions!$F$64)),$B$9*(1-Assumptions!$F$74)^(K$5-$B$8+1),0)</f>
        <v>0</v>
      </c>
      <c r="L18" s="14" t="n">
        <f aca="false">IF(AND(L$5&gt;=$B$8,L$5&lt;IF('Unit Economics'!$F$41=1,9999,Assumptions!$F$64)),$B$9*(1-Assumptions!$F$74)^(L$5-$B$8+1),0)</f>
        <v>0</v>
      </c>
    </row>
    <row r="19" customFormat="false" ht="15" hidden="false" customHeight="false" outlineLevel="0" collapsed="false">
      <c r="A19" s="6" t="s">
        <v>340</v>
      </c>
      <c r="C19" s="14" t="n">
        <f aca="false">IF(AND(C$5=IF('Unit Economics'!$F$41=1,9999,Assumptions!$F$64),C$5&gt;=$B$8),$B$9*(1-Assumptions!$F$74)^(C$5-$B$8+0.5)*(1-Assumptions!$F$73),0)</f>
        <v>0</v>
      </c>
      <c r="D19" s="14" t="n">
        <f aca="false">IF(AND(D$5=IF('Unit Economics'!$F$41=1,9999,Assumptions!$F$64),D$5&gt;=$B$8),$B$9*(1-Assumptions!$F$74)^(D$5-$B$8+0.5)*(1-Assumptions!$F$73),0)</f>
        <v>0</v>
      </c>
      <c r="E19" s="14" t="n">
        <f aca="false">IF(AND(E$5=IF('Unit Economics'!$F$41=1,9999,Assumptions!$F$64),E$5&gt;=$B$8),$B$9*(1-Assumptions!$F$74)^(E$5-$B$8+0.5)*(1-Assumptions!$F$73),0)</f>
        <v>9654805.96421746</v>
      </c>
      <c r="F19" s="14" t="n">
        <f aca="false">IF(AND(F$5=IF('Unit Economics'!$F$41=1,9999,Assumptions!$F$64),F$5&gt;=$B$8),$B$9*(1-Assumptions!$F$74)^(F$5-$B$8+0.5)*(1-Assumptions!$F$73),0)</f>
        <v>0</v>
      </c>
      <c r="G19" s="14" t="n">
        <f aca="false">IF(AND(G$5=IF('Unit Economics'!$F$41=1,9999,Assumptions!$F$64),G$5&gt;=$B$8),$B$9*(1-Assumptions!$F$74)^(G$5-$B$8+0.5)*(1-Assumptions!$F$73),0)</f>
        <v>0</v>
      </c>
      <c r="H19" s="14" t="n">
        <f aca="false">IF(AND(H$5=IF('Unit Economics'!$F$41=1,9999,Assumptions!$F$64),H$5&gt;=$B$8),$B$9*(1-Assumptions!$F$74)^(H$5-$B$8+0.5)*(1-Assumptions!$F$73),0)</f>
        <v>0</v>
      </c>
      <c r="I19" s="14" t="n">
        <f aca="false">IF(AND(I$5=IF('Unit Economics'!$F$41=1,9999,Assumptions!$F$64),I$5&gt;=$B$8),$B$9*(1-Assumptions!$F$74)^(I$5-$B$8+0.5)*(1-Assumptions!$F$73),0)</f>
        <v>0</v>
      </c>
      <c r="J19" s="14" t="n">
        <f aca="false">IF(AND(J$5=IF('Unit Economics'!$F$41=1,9999,Assumptions!$F$64),J$5&gt;=$B$8),$B$9*(1-Assumptions!$F$74)^(J$5-$B$8+0.5)*(1-Assumptions!$F$73),0)</f>
        <v>0</v>
      </c>
      <c r="K19" s="14" t="n">
        <f aca="false">IF(AND(K$5=IF('Unit Economics'!$F$41=1,9999,Assumptions!$F$64),K$5&gt;=$B$8),$B$9*(1-Assumptions!$F$74)^(K$5-$B$8+0.5)*(1-Assumptions!$F$73),0)</f>
        <v>0</v>
      </c>
      <c r="L19" s="14" t="n">
        <f aca="false">IF(AND(L$5=IF('Unit Economics'!$F$41=1,9999,Assumptions!$F$64),L$5&gt;=$B$8),$B$9*(1-Assumptions!$F$74)^(L$5-$B$8+0.5)*(1-Assumptions!$F$73),0)</f>
        <v>0</v>
      </c>
    </row>
    <row r="21" customFormat="false" ht="15" hidden="false" customHeight="false" outlineLevel="0" collapsed="false">
      <c r="A21" s="17" t="s">
        <v>341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330</v>
      </c>
      <c r="B22" s="42" t="n">
        <f aca="false">2027+COUNTIF('Fleet Plan'!$C$20:$L$20,"&lt;2")</f>
        <v>2037</v>
      </c>
    </row>
    <row r="23" customFormat="false" ht="15" hidden="false" customHeight="false" outlineLevel="0" collapsed="false">
      <c r="A23" s="6" t="s">
        <v>331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274</v>
      </c>
      <c r="B24" s="14" t="n">
        <f aca="false">$B$23*Assumptions!$F$18</f>
        <v>0</v>
      </c>
    </row>
    <row r="25" customFormat="false" ht="15" hidden="false" customHeight="false" outlineLevel="0" collapsed="false">
      <c r="A25" s="6" t="s">
        <v>332</v>
      </c>
      <c r="B25" s="14" t="n">
        <f aca="false">IF($B$24=0,0,PMT(Assumptions!$F$19,Assumptions!$F$20,-$B$24))</f>
        <v>0</v>
      </c>
    </row>
    <row r="26" customFormat="false" ht="15" hidden="false" customHeight="false" outlineLevel="0" collapsed="false">
      <c r="A26" s="6" t="s">
        <v>333</v>
      </c>
      <c r="C26" s="14" t="n">
        <f aca="false">IF(C$5=$B$22,$B$24,IF(AND(C$5&gt;$B$22,C$5&lt;=IF('Unit Economics'!$F$41=1,9999,Assumptions!$F$64)),0,0))</f>
        <v>0</v>
      </c>
      <c r="D26" s="14" t="n">
        <f aca="false">IF(D$5=$B$22,$B$24,IF(AND(D$5&gt;$B$22,D$5&lt;=IF('Unit Economics'!$F$41=1,9999,Assumptions!$F$64)),C31,0))</f>
        <v>0</v>
      </c>
      <c r="E26" s="14" t="n">
        <f aca="false">IF(E$5=$B$22,$B$24,IF(AND(E$5&gt;$B$22,E$5&lt;=IF('Unit Economics'!$F$41=1,9999,Assumptions!$F$64)),D31,0))</f>
        <v>0</v>
      </c>
      <c r="F26" s="14" t="n">
        <f aca="false">IF(F$5=$B$22,$B$24,IF(AND(F$5&gt;$B$22,F$5&lt;=IF('Unit Economics'!$F$41=1,9999,Assumptions!$F$64)),E31,0))</f>
        <v>0</v>
      </c>
      <c r="G26" s="14" t="n">
        <f aca="false">IF(G$5=$B$22,$B$24,IF(AND(G$5&gt;$B$22,G$5&lt;=IF('Unit Economics'!$F$41=1,9999,Assumptions!$F$64)),F31,0))</f>
        <v>0</v>
      </c>
      <c r="H26" s="14" t="n">
        <f aca="false">IF(H$5=$B$22,$B$24,IF(AND(H$5&gt;$B$22,H$5&lt;=IF('Unit Economics'!$F$41=1,9999,Assumptions!$F$64)),G31,0))</f>
        <v>0</v>
      </c>
      <c r="I26" s="14" t="n">
        <f aca="false">IF(I$5=$B$22,$B$24,IF(AND(I$5&gt;$B$22,I$5&lt;=IF('Unit Economics'!$F$41=1,9999,Assumptions!$F$64)),H31,0))</f>
        <v>0</v>
      </c>
      <c r="J26" s="14" t="n">
        <f aca="false">IF(J$5=$B$22,$B$24,IF(AND(J$5&gt;$B$22,J$5&lt;=IF('Unit Economics'!$F$41=1,9999,Assumptions!$F$64)),I31,0))</f>
        <v>0</v>
      </c>
      <c r="K26" s="14" t="n">
        <f aca="false">IF(K$5=$B$22,$B$24,IF(AND(K$5&gt;$B$22,K$5&lt;=IF('Unit Economics'!$F$41=1,9999,Assumptions!$F$64)),J31,0))</f>
        <v>0</v>
      </c>
      <c r="L26" s="14" t="n">
        <f aca="false">IF(L$5=$B$22,$B$24,IF(AND(L$5&gt;$B$22,L$5&lt;=IF('Unit Economics'!$F$41=1,9999,Assumptions!$F$64)),K31,0))</f>
        <v>0</v>
      </c>
    </row>
    <row r="27" customFormat="false" ht="15" hidden="false" customHeight="false" outlineLevel="0" collapsed="false">
      <c r="A27" s="6" t="s">
        <v>334</v>
      </c>
      <c r="C27" s="14" t="n">
        <f aca="false">C26*Assumptions!$F$19</f>
        <v>0</v>
      </c>
      <c r="D27" s="14" t="n">
        <f aca="false">D26*Assumptions!$F$19</f>
        <v>0</v>
      </c>
      <c r="E27" s="14" t="n">
        <f aca="false">E26*Assumptions!$F$19</f>
        <v>0</v>
      </c>
      <c r="F27" s="14" t="n">
        <f aca="false">F26*Assumptions!$F$19</f>
        <v>0</v>
      </c>
      <c r="G27" s="14" t="n">
        <f aca="false">G26*Assumptions!$F$19</f>
        <v>0</v>
      </c>
      <c r="H27" s="14" t="n">
        <f aca="false">H26*Assumptions!$F$19</f>
        <v>0</v>
      </c>
      <c r="I27" s="14" t="n">
        <f aca="false">I26*Assumptions!$F$19</f>
        <v>0</v>
      </c>
      <c r="J27" s="14" t="n">
        <f aca="false">J26*Assumptions!$F$19</f>
        <v>0</v>
      </c>
      <c r="K27" s="14" t="n">
        <f aca="false">K26*Assumptions!$F$19</f>
        <v>0</v>
      </c>
      <c r="L27" s="14" t="n">
        <f aca="false">L26*Assumptions!$F$19</f>
        <v>0</v>
      </c>
    </row>
    <row r="28" customFormat="false" ht="15" hidden="false" customHeight="false" outlineLevel="0" collapsed="false">
      <c r="A28" s="6" t="s">
        <v>335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336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337</v>
      </c>
      <c r="C30" s="14" t="n">
        <f aca="false">IF(C$5=IF('Unit Economics'!$F$41=1,9999,Assumptions!$F$64),C26-C29,0)</f>
        <v>0</v>
      </c>
      <c r="D30" s="14" t="n">
        <f aca="false">IF(D$5=IF('Unit Economics'!$F$41=1,9999,Assumptions!$F$64),D26-D29,0)</f>
        <v>0</v>
      </c>
      <c r="E30" s="14" t="n">
        <f aca="false">IF(E$5=IF('Unit Economics'!$F$41=1,9999,Assumptions!$F$64),E26-E29,0)</f>
        <v>0</v>
      </c>
      <c r="F30" s="14" t="n">
        <f aca="false">IF(F$5=IF('Unit Economics'!$F$41=1,9999,Assumptions!$F$64),F26-F29,0)</f>
        <v>0</v>
      </c>
      <c r="G30" s="14" t="n">
        <f aca="false">IF(G$5=IF('Unit Economics'!$F$41=1,9999,Assumptions!$F$64),G26-G29,0)</f>
        <v>0</v>
      </c>
      <c r="H30" s="14" t="n">
        <f aca="false">IF(H$5=IF('Unit Economics'!$F$41=1,9999,Assumptions!$F$64),H26-H29,0)</f>
        <v>0</v>
      </c>
      <c r="I30" s="14" t="n">
        <f aca="false">IF(I$5=IF('Unit Economics'!$F$41=1,9999,Assumptions!$F$64),I26-I29,0)</f>
        <v>0</v>
      </c>
      <c r="J30" s="14" t="n">
        <f aca="false">IF(J$5=IF('Unit Economics'!$F$41=1,9999,Assumptions!$F$64),J26-J29,0)</f>
        <v>0</v>
      </c>
      <c r="K30" s="14" t="n">
        <f aca="false">IF(K$5=IF('Unit Economics'!$F$41=1,9999,Assumptions!$F$64),K26-K29,0)</f>
        <v>0</v>
      </c>
      <c r="L30" s="14" t="n">
        <f aca="false">IF(L$5=IF('Unit Economics'!$F$41=1,9999,Assumptions!$F$64),L26-L29,0)</f>
        <v>0</v>
      </c>
    </row>
    <row r="31" customFormat="false" ht="15" hidden="false" customHeight="false" outlineLevel="0" collapsed="false">
      <c r="A31" s="6" t="s">
        <v>338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339</v>
      </c>
      <c r="C32" s="14" t="n">
        <f aca="false">IF(AND(C$5&gt;=$B$22,C$5&lt;IF('Unit Economics'!$F$41=1,9999,Assumptions!$F$64)),$B$23*(1-Assumptions!$F$74)^(C$5-$B$22+1),0)</f>
        <v>0</v>
      </c>
      <c r="D32" s="14" t="n">
        <f aca="false">IF(AND(D$5&gt;=$B$22,D$5&lt;IF('Unit Economics'!$F$41=1,9999,Assumptions!$F$64)),$B$23*(1-Assumptions!$F$74)^(D$5-$B$22+1),0)</f>
        <v>0</v>
      </c>
      <c r="E32" s="14" t="n">
        <f aca="false">IF(AND(E$5&gt;=$B$22,E$5&lt;IF('Unit Economics'!$F$41=1,9999,Assumptions!$F$64)),$B$23*(1-Assumptions!$F$74)^(E$5-$B$22+1),0)</f>
        <v>0</v>
      </c>
      <c r="F32" s="14" t="n">
        <f aca="false">IF(AND(F$5&gt;=$B$22,F$5&lt;IF('Unit Economics'!$F$41=1,9999,Assumptions!$F$64)),$B$23*(1-Assumptions!$F$74)^(F$5-$B$22+1),0)</f>
        <v>0</v>
      </c>
      <c r="G32" s="14" t="n">
        <f aca="false">IF(AND(G$5&gt;=$B$22,G$5&lt;IF('Unit Economics'!$F$41=1,9999,Assumptions!$F$64)),$B$23*(1-Assumptions!$F$74)^(G$5-$B$22+1),0)</f>
        <v>0</v>
      </c>
      <c r="H32" s="14" t="n">
        <f aca="false">IF(AND(H$5&gt;=$B$22,H$5&lt;IF('Unit Economics'!$F$41=1,9999,Assumptions!$F$64)),$B$23*(1-Assumptions!$F$74)^(H$5-$B$22+1),0)</f>
        <v>0</v>
      </c>
      <c r="I32" s="14" t="n">
        <f aca="false">IF(AND(I$5&gt;=$B$22,I$5&lt;IF('Unit Economics'!$F$41=1,9999,Assumptions!$F$64)),$B$23*(1-Assumptions!$F$74)^(I$5-$B$22+1),0)</f>
        <v>0</v>
      </c>
      <c r="J32" s="14" t="n">
        <f aca="false">IF(AND(J$5&gt;=$B$22,J$5&lt;IF('Unit Economics'!$F$41=1,9999,Assumptions!$F$64)),$B$23*(1-Assumptions!$F$74)^(J$5-$B$22+1),0)</f>
        <v>0</v>
      </c>
      <c r="K32" s="14" t="n">
        <f aca="false">IF(AND(K$5&gt;=$B$22,K$5&lt;IF('Unit Economics'!$F$41=1,9999,Assumptions!$F$64)),$B$23*(1-Assumptions!$F$74)^(K$5-$B$22+1),0)</f>
        <v>0</v>
      </c>
      <c r="L32" s="14" t="n">
        <f aca="false">IF(AND(L$5&gt;=$B$22,L$5&lt;IF('Unit Economics'!$F$41=1,9999,Assumptions!$F$64)),$B$23*(1-Assumptions!$F$74)^(L$5-$B$22+1),0)</f>
        <v>0</v>
      </c>
    </row>
    <row r="33" customFormat="false" ht="15" hidden="false" customHeight="false" outlineLevel="0" collapsed="false">
      <c r="A33" s="6" t="s">
        <v>340</v>
      </c>
      <c r="C33" s="14" t="n">
        <f aca="false">IF(AND(C$5=IF('Unit Economics'!$F$41=1,9999,Assumptions!$F$64),C$5&gt;=$B$22),$B$23*(1-Assumptions!$F$74)^(C$5-$B$22+0.5)*(1-Assumptions!$F$73),0)</f>
        <v>0</v>
      </c>
      <c r="D33" s="14" t="n">
        <f aca="false">IF(AND(D$5=IF('Unit Economics'!$F$41=1,9999,Assumptions!$F$64),D$5&gt;=$B$22),$B$23*(1-Assumptions!$F$74)^(D$5-$B$22+0.5)*(1-Assumptions!$F$73),0)</f>
        <v>0</v>
      </c>
      <c r="E33" s="14" t="n">
        <f aca="false">IF(AND(E$5=IF('Unit Economics'!$F$41=1,9999,Assumptions!$F$64),E$5&gt;=$B$22),$B$23*(1-Assumptions!$F$74)^(E$5-$B$22+0.5)*(1-Assumptions!$F$73),0)</f>
        <v>0</v>
      </c>
      <c r="F33" s="14" t="n">
        <f aca="false">IF(AND(F$5=IF('Unit Economics'!$F$41=1,9999,Assumptions!$F$64),F$5&gt;=$B$22),$B$23*(1-Assumptions!$F$74)^(F$5-$B$22+0.5)*(1-Assumptions!$F$73),0)</f>
        <v>0</v>
      </c>
      <c r="G33" s="14" t="n">
        <f aca="false">IF(AND(G$5=IF('Unit Economics'!$F$41=1,9999,Assumptions!$F$64),G$5&gt;=$B$22),$B$23*(1-Assumptions!$F$74)^(G$5-$B$22+0.5)*(1-Assumptions!$F$73),0)</f>
        <v>0</v>
      </c>
      <c r="H33" s="14" t="n">
        <f aca="false">IF(AND(H$5=IF('Unit Economics'!$F$41=1,9999,Assumptions!$F$64),H$5&gt;=$B$22),$B$23*(1-Assumptions!$F$74)^(H$5-$B$22+0.5)*(1-Assumptions!$F$73),0)</f>
        <v>0</v>
      </c>
      <c r="I33" s="14" t="n">
        <f aca="false">IF(AND(I$5=IF('Unit Economics'!$F$41=1,9999,Assumptions!$F$64),I$5&gt;=$B$22),$B$23*(1-Assumptions!$F$74)^(I$5-$B$22+0.5)*(1-Assumptions!$F$73),0)</f>
        <v>0</v>
      </c>
      <c r="J33" s="14" t="n">
        <f aca="false">IF(AND(J$5=IF('Unit Economics'!$F$41=1,9999,Assumptions!$F$64),J$5&gt;=$B$22),$B$23*(1-Assumptions!$F$74)^(J$5-$B$22+0.5)*(1-Assumptions!$F$73),0)</f>
        <v>0</v>
      </c>
      <c r="K33" s="14" t="n">
        <f aca="false">IF(AND(K$5=IF('Unit Economics'!$F$41=1,9999,Assumptions!$F$64),K$5&gt;=$B$22),$B$23*(1-Assumptions!$F$74)^(K$5-$B$22+0.5)*(1-Assumptions!$F$73),0)</f>
        <v>0</v>
      </c>
      <c r="L33" s="14" t="n">
        <f aca="false">IF(AND(L$5=IF('Unit Economics'!$F$41=1,9999,Assumptions!$F$64),L$5&gt;=$B$22),$B$23*(1-Assumptions!$F$74)^(L$5-$B$22+0.5)*(1-Assumptions!$F$73),0)</f>
        <v>0</v>
      </c>
    </row>
    <row r="35" customFormat="false" ht="15" hidden="false" customHeight="false" outlineLevel="0" collapsed="false">
      <c r="A35" s="17" t="s">
        <v>342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330</v>
      </c>
      <c r="B36" s="42" t="n">
        <f aca="false">2027+COUNTIF('Fleet Plan'!$C$20:$L$20,"&lt;3")</f>
        <v>2037</v>
      </c>
    </row>
    <row r="37" customFormat="false" ht="15" hidden="false" customHeight="false" outlineLevel="0" collapsed="false">
      <c r="A37" s="6" t="s">
        <v>331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274</v>
      </c>
      <c r="B38" s="14" t="n">
        <f aca="false">$B$37*Assumptions!$F$18</f>
        <v>0</v>
      </c>
    </row>
    <row r="39" customFormat="false" ht="15" hidden="false" customHeight="false" outlineLevel="0" collapsed="false">
      <c r="A39" s="6" t="s">
        <v>332</v>
      </c>
      <c r="B39" s="14" t="n">
        <f aca="false">IF($B$38=0,0,PMT(Assumptions!$F$19,Assumptions!$F$20,-$B$38))</f>
        <v>0</v>
      </c>
    </row>
    <row r="40" customFormat="false" ht="15" hidden="false" customHeight="false" outlineLevel="0" collapsed="false">
      <c r="A40" s="6" t="s">
        <v>333</v>
      </c>
      <c r="C40" s="14" t="n">
        <f aca="false">IF(C$5=$B$36,$B$38,IF(AND(C$5&gt;$B$36,C$5&lt;=IF('Unit Economics'!$F$41=1,9999,Assumptions!$F$64)),0,0))</f>
        <v>0</v>
      </c>
      <c r="D40" s="14" t="n">
        <f aca="false">IF(D$5=$B$36,$B$38,IF(AND(D$5&gt;$B$36,D$5&lt;=IF('Unit Economics'!$F$41=1,9999,Assumptions!$F$64)),C45,0))</f>
        <v>0</v>
      </c>
      <c r="E40" s="14" t="n">
        <f aca="false">IF(E$5=$B$36,$B$38,IF(AND(E$5&gt;$B$36,E$5&lt;=IF('Unit Economics'!$F$41=1,9999,Assumptions!$F$64)),D45,0))</f>
        <v>0</v>
      </c>
      <c r="F40" s="14" t="n">
        <f aca="false">IF(F$5=$B$36,$B$38,IF(AND(F$5&gt;$B$36,F$5&lt;=IF('Unit Economics'!$F$41=1,9999,Assumptions!$F$64)),E45,0))</f>
        <v>0</v>
      </c>
      <c r="G40" s="14" t="n">
        <f aca="false">IF(G$5=$B$36,$B$38,IF(AND(G$5&gt;$B$36,G$5&lt;=IF('Unit Economics'!$F$41=1,9999,Assumptions!$F$64)),F45,0))</f>
        <v>0</v>
      </c>
      <c r="H40" s="14" t="n">
        <f aca="false">IF(H$5=$B$36,$B$38,IF(AND(H$5&gt;$B$36,H$5&lt;=IF('Unit Economics'!$F$41=1,9999,Assumptions!$F$64)),G45,0))</f>
        <v>0</v>
      </c>
      <c r="I40" s="14" t="n">
        <f aca="false">IF(I$5=$B$36,$B$38,IF(AND(I$5&gt;$B$36,I$5&lt;=IF('Unit Economics'!$F$41=1,9999,Assumptions!$F$64)),H45,0))</f>
        <v>0</v>
      </c>
      <c r="J40" s="14" t="n">
        <f aca="false">IF(J$5=$B$36,$B$38,IF(AND(J$5&gt;$B$36,J$5&lt;=IF('Unit Economics'!$F$41=1,9999,Assumptions!$F$64)),I45,0))</f>
        <v>0</v>
      </c>
      <c r="K40" s="14" t="n">
        <f aca="false">IF(K$5=$B$36,$B$38,IF(AND(K$5&gt;$B$36,K$5&lt;=IF('Unit Economics'!$F$41=1,9999,Assumptions!$F$64)),J45,0))</f>
        <v>0</v>
      </c>
      <c r="L40" s="14" t="n">
        <f aca="false">IF(L$5=$B$36,$B$38,IF(AND(L$5&gt;$B$36,L$5&lt;=IF('Unit Economics'!$F$41=1,9999,Assumptions!$F$64)),K45,0))</f>
        <v>0</v>
      </c>
    </row>
    <row r="41" customFormat="false" ht="15" hidden="false" customHeight="false" outlineLevel="0" collapsed="false">
      <c r="A41" s="6" t="s">
        <v>334</v>
      </c>
      <c r="C41" s="14" t="n">
        <f aca="false">C40*Assumptions!$F$19</f>
        <v>0</v>
      </c>
      <c r="D41" s="14" t="n">
        <f aca="false">D40*Assumptions!$F$19</f>
        <v>0</v>
      </c>
      <c r="E41" s="14" t="n">
        <f aca="false">E40*Assumptions!$F$19</f>
        <v>0</v>
      </c>
      <c r="F41" s="14" t="n">
        <f aca="false">F40*Assumptions!$F$19</f>
        <v>0</v>
      </c>
      <c r="G41" s="14" t="n">
        <f aca="false">G40*Assumptions!$F$19</f>
        <v>0</v>
      </c>
      <c r="H41" s="14" t="n">
        <f aca="false">H40*Assumptions!$F$19</f>
        <v>0</v>
      </c>
      <c r="I41" s="14" t="n">
        <f aca="false">I40*Assumptions!$F$19</f>
        <v>0</v>
      </c>
      <c r="J41" s="14" t="n">
        <f aca="false">J40*Assumptions!$F$19</f>
        <v>0</v>
      </c>
      <c r="K41" s="14" t="n">
        <f aca="false">K40*Assumptions!$F$19</f>
        <v>0</v>
      </c>
      <c r="L41" s="14" t="n">
        <f aca="false">L40*Assumptions!$F$19</f>
        <v>0</v>
      </c>
    </row>
    <row r="42" customFormat="false" ht="15" hidden="false" customHeight="false" outlineLevel="0" collapsed="false">
      <c r="A42" s="6" t="s">
        <v>335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336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337</v>
      </c>
      <c r="C44" s="14" t="n">
        <f aca="false">IF(C$5=IF('Unit Economics'!$F$41=1,9999,Assumptions!$F$64),C40-C43,0)</f>
        <v>0</v>
      </c>
      <c r="D44" s="14" t="n">
        <f aca="false">IF(D$5=IF('Unit Economics'!$F$41=1,9999,Assumptions!$F$64),D40-D43,0)</f>
        <v>0</v>
      </c>
      <c r="E44" s="14" t="n">
        <f aca="false">IF(E$5=IF('Unit Economics'!$F$41=1,9999,Assumptions!$F$64),E40-E43,0)</f>
        <v>0</v>
      </c>
      <c r="F44" s="14" t="n">
        <f aca="false">IF(F$5=IF('Unit Economics'!$F$41=1,9999,Assumptions!$F$64),F40-F43,0)</f>
        <v>0</v>
      </c>
      <c r="G44" s="14" t="n">
        <f aca="false">IF(G$5=IF('Unit Economics'!$F$41=1,9999,Assumptions!$F$64),G40-G43,0)</f>
        <v>0</v>
      </c>
      <c r="H44" s="14" t="n">
        <f aca="false">IF(H$5=IF('Unit Economics'!$F$41=1,9999,Assumptions!$F$64),H40-H43,0)</f>
        <v>0</v>
      </c>
      <c r="I44" s="14" t="n">
        <f aca="false">IF(I$5=IF('Unit Economics'!$F$41=1,9999,Assumptions!$F$64),I40-I43,0)</f>
        <v>0</v>
      </c>
      <c r="J44" s="14" t="n">
        <f aca="false">IF(J$5=IF('Unit Economics'!$F$41=1,9999,Assumptions!$F$64),J40-J43,0)</f>
        <v>0</v>
      </c>
      <c r="K44" s="14" t="n">
        <f aca="false">IF(K$5=IF('Unit Economics'!$F$41=1,9999,Assumptions!$F$64),K40-K43,0)</f>
        <v>0</v>
      </c>
      <c r="L44" s="14" t="n">
        <f aca="false">IF(L$5=IF('Unit Economics'!$F$41=1,9999,Assumptions!$F$64),L40-L43,0)</f>
        <v>0</v>
      </c>
    </row>
    <row r="45" customFormat="false" ht="15" hidden="false" customHeight="false" outlineLevel="0" collapsed="false">
      <c r="A45" s="6" t="s">
        <v>338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339</v>
      </c>
      <c r="C46" s="14" t="n">
        <f aca="false">IF(AND(C$5&gt;=$B$36,C$5&lt;IF('Unit Economics'!$F$41=1,9999,Assumptions!$F$64)),$B$37*(1-Assumptions!$F$74)^(C$5-$B$36+1),0)</f>
        <v>0</v>
      </c>
      <c r="D46" s="14" t="n">
        <f aca="false">IF(AND(D$5&gt;=$B$36,D$5&lt;IF('Unit Economics'!$F$41=1,9999,Assumptions!$F$64)),$B$37*(1-Assumptions!$F$74)^(D$5-$B$36+1),0)</f>
        <v>0</v>
      </c>
      <c r="E46" s="14" t="n">
        <f aca="false">IF(AND(E$5&gt;=$B$36,E$5&lt;IF('Unit Economics'!$F$41=1,9999,Assumptions!$F$64)),$B$37*(1-Assumptions!$F$74)^(E$5-$B$36+1),0)</f>
        <v>0</v>
      </c>
      <c r="F46" s="14" t="n">
        <f aca="false">IF(AND(F$5&gt;=$B$36,F$5&lt;IF('Unit Economics'!$F$41=1,9999,Assumptions!$F$64)),$B$37*(1-Assumptions!$F$74)^(F$5-$B$36+1),0)</f>
        <v>0</v>
      </c>
      <c r="G46" s="14" t="n">
        <f aca="false">IF(AND(G$5&gt;=$B$36,G$5&lt;IF('Unit Economics'!$F$41=1,9999,Assumptions!$F$64)),$B$37*(1-Assumptions!$F$74)^(G$5-$B$36+1),0)</f>
        <v>0</v>
      </c>
      <c r="H46" s="14" t="n">
        <f aca="false">IF(AND(H$5&gt;=$B$36,H$5&lt;IF('Unit Economics'!$F$41=1,9999,Assumptions!$F$64)),$B$37*(1-Assumptions!$F$74)^(H$5-$B$36+1),0)</f>
        <v>0</v>
      </c>
      <c r="I46" s="14" t="n">
        <f aca="false">IF(AND(I$5&gt;=$B$36,I$5&lt;IF('Unit Economics'!$F$41=1,9999,Assumptions!$F$64)),$B$37*(1-Assumptions!$F$74)^(I$5-$B$36+1),0)</f>
        <v>0</v>
      </c>
      <c r="J46" s="14" t="n">
        <f aca="false">IF(AND(J$5&gt;=$B$36,J$5&lt;IF('Unit Economics'!$F$41=1,9999,Assumptions!$F$64)),$B$37*(1-Assumptions!$F$74)^(J$5-$B$36+1),0)</f>
        <v>0</v>
      </c>
      <c r="K46" s="14" t="n">
        <f aca="false">IF(AND(K$5&gt;=$B$36,K$5&lt;IF('Unit Economics'!$F$41=1,9999,Assumptions!$F$64)),$B$37*(1-Assumptions!$F$74)^(K$5-$B$36+1),0)</f>
        <v>0</v>
      </c>
      <c r="L46" s="14" t="n">
        <f aca="false">IF(AND(L$5&gt;=$B$36,L$5&lt;IF('Unit Economics'!$F$41=1,9999,Assumptions!$F$64)),$B$37*(1-Assumptions!$F$74)^(L$5-$B$36+1),0)</f>
        <v>0</v>
      </c>
    </row>
    <row r="47" customFormat="false" ht="15" hidden="false" customHeight="false" outlineLevel="0" collapsed="false">
      <c r="A47" s="6" t="s">
        <v>340</v>
      </c>
      <c r="C47" s="14" t="n">
        <f aca="false">IF(AND(C$5=IF('Unit Economics'!$F$41=1,9999,Assumptions!$F$64),C$5&gt;=$B$36),$B$37*(1-Assumptions!$F$74)^(C$5-$B$36+0.5)*(1-Assumptions!$F$73),0)</f>
        <v>0</v>
      </c>
      <c r="D47" s="14" t="n">
        <f aca="false">IF(AND(D$5=IF('Unit Economics'!$F$41=1,9999,Assumptions!$F$64),D$5&gt;=$B$36),$B$37*(1-Assumptions!$F$74)^(D$5-$B$36+0.5)*(1-Assumptions!$F$73),0)</f>
        <v>0</v>
      </c>
      <c r="E47" s="14" t="n">
        <f aca="false">IF(AND(E$5=IF('Unit Economics'!$F$41=1,9999,Assumptions!$F$64),E$5&gt;=$B$36),$B$37*(1-Assumptions!$F$74)^(E$5-$B$36+0.5)*(1-Assumptions!$F$73),0)</f>
        <v>0</v>
      </c>
      <c r="F47" s="14" t="n">
        <f aca="false">IF(AND(F$5=IF('Unit Economics'!$F$41=1,9999,Assumptions!$F$64),F$5&gt;=$B$36),$B$37*(1-Assumptions!$F$74)^(F$5-$B$36+0.5)*(1-Assumptions!$F$73),0)</f>
        <v>0</v>
      </c>
      <c r="G47" s="14" t="n">
        <f aca="false">IF(AND(G$5=IF('Unit Economics'!$F$41=1,9999,Assumptions!$F$64),G$5&gt;=$B$36),$B$37*(1-Assumptions!$F$74)^(G$5-$B$36+0.5)*(1-Assumptions!$F$73),0)</f>
        <v>0</v>
      </c>
      <c r="H47" s="14" t="n">
        <f aca="false">IF(AND(H$5=IF('Unit Economics'!$F$41=1,9999,Assumptions!$F$64),H$5&gt;=$B$36),$B$37*(1-Assumptions!$F$74)^(H$5-$B$36+0.5)*(1-Assumptions!$F$73),0)</f>
        <v>0</v>
      </c>
      <c r="I47" s="14" t="n">
        <f aca="false">IF(AND(I$5=IF('Unit Economics'!$F$41=1,9999,Assumptions!$F$64),I$5&gt;=$B$36),$B$37*(1-Assumptions!$F$74)^(I$5-$B$36+0.5)*(1-Assumptions!$F$73),0)</f>
        <v>0</v>
      </c>
      <c r="J47" s="14" t="n">
        <f aca="false">IF(AND(J$5=IF('Unit Economics'!$F$41=1,9999,Assumptions!$F$64),J$5&gt;=$B$36),$B$37*(1-Assumptions!$F$74)^(J$5-$B$36+0.5)*(1-Assumptions!$F$73),0)</f>
        <v>0</v>
      </c>
      <c r="K47" s="14" t="n">
        <f aca="false">IF(AND(K$5=IF('Unit Economics'!$F$41=1,9999,Assumptions!$F$64),K$5&gt;=$B$36),$B$37*(1-Assumptions!$F$74)^(K$5-$B$36+0.5)*(1-Assumptions!$F$73),0)</f>
        <v>0</v>
      </c>
      <c r="L47" s="14" t="n">
        <f aca="false">IF(AND(L$5=IF('Unit Economics'!$F$41=1,9999,Assumptions!$F$64),L$5&gt;=$B$36),$B$37*(1-Assumptions!$F$74)^(L$5-$B$36+0.5)*(1-Assumptions!$F$73),0)</f>
        <v>0</v>
      </c>
    </row>
    <row r="49" customFormat="false" ht="15" hidden="false" customHeight="false" outlineLevel="0" collapsed="false">
      <c r="A49" s="17" t="s">
        <v>343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330</v>
      </c>
      <c r="B50" s="42" t="n">
        <f aca="false">2027+COUNTIF('Fleet Plan'!$C$20:$L$20,"&lt;4")</f>
        <v>2037</v>
      </c>
    </row>
    <row r="51" customFormat="false" ht="15" hidden="false" customHeight="false" outlineLevel="0" collapsed="false">
      <c r="A51" s="6" t="s">
        <v>331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274</v>
      </c>
      <c r="B52" s="14" t="n">
        <f aca="false">$B$51*Assumptions!$F$18</f>
        <v>0</v>
      </c>
    </row>
    <row r="53" customFormat="false" ht="15" hidden="false" customHeight="false" outlineLevel="0" collapsed="false">
      <c r="A53" s="6" t="s">
        <v>332</v>
      </c>
      <c r="B53" s="14" t="n">
        <f aca="false">IF($B$52=0,0,PMT(Assumptions!$F$19,Assumptions!$F$20,-$B$52))</f>
        <v>0</v>
      </c>
    </row>
    <row r="54" customFormat="false" ht="15" hidden="false" customHeight="false" outlineLevel="0" collapsed="false">
      <c r="A54" s="6" t="s">
        <v>333</v>
      </c>
      <c r="C54" s="14" t="n">
        <f aca="false">IF(C$5=$B$50,$B$52,IF(AND(C$5&gt;$B$50,C$5&lt;=IF('Unit Economics'!$F$41=1,9999,Assumptions!$F$64)),0,0))</f>
        <v>0</v>
      </c>
      <c r="D54" s="14" t="n">
        <f aca="false">IF(D$5=$B$50,$B$52,IF(AND(D$5&gt;$B$50,D$5&lt;=IF('Unit Economics'!$F$41=1,9999,Assumptions!$F$64)),C59,0))</f>
        <v>0</v>
      </c>
      <c r="E54" s="14" t="n">
        <f aca="false">IF(E$5=$B$50,$B$52,IF(AND(E$5&gt;$B$50,E$5&lt;=IF('Unit Economics'!$F$41=1,9999,Assumptions!$F$64)),D59,0))</f>
        <v>0</v>
      </c>
      <c r="F54" s="14" t="n">
        <f aca="false">IF(F$5=$B$50,$B$52,IF(AND(F$5&gt;$B$50,F$5&lt;=IF('Unit Economics'!$F$41=1,9999,Assumptions!$F$64)),E59,0))</f>
        <v>0</v>
      </c>
      <c r="G54" s="14" t="n">
        <f aca="false">IF(G$5=$B$50,$B$52,IF(AND(G$5&gt;$B$50,G$5&lt;=IF('Unit Economics'!$F$41=1,9999,Assumptions!$F$64)),F59,0))</f>
        <v>0</v>
      </c>
      <c r="H54" s="14" t="n">
        <f aca="false">IF(H$5=$B$50,$B$52,IF(AND(H$5&gt;$B$50,H$5&lt;=IF('Unit Economics'!$F$41=1,9999,Assumptions!$F$64)),G59,0))</f>
        <v>0</v>
      </c>
      <c r="I54" s="14" t="n">
        <f aca="false">IF(I$5=$B$50,$B$52,IF(AND(I$5&gt;$B$50,I$5&lt;=IF('Unit Economics'!$F$41=1,9999,Assumptions!$F$64)),H59,0))</f>
        <v>0</v>
      </c>
      <c r="J54" s="14" t="n">
        <f aca="false">IF(J$5=$B$50,$B$52,IF(AND(J$5&gt;$B$50,J$5&lt;=IF('Unit Economics'!$F$41=1,9999,Assumptions!$F$64)),I59,0))</f>
        <v>0</v>
      </c>
      <c r="K54" s="14" t="n">
        <f aca="false">IF(K$5=$B$50,$B$52,IF(AND(K$5&gt;$B$50,K$5&lt;=IF('Unit Economics'!$F$41=1,9999,Assumptions!$F$64)),J59,0))</f>
        <v>0</v>
      </c>
      <c r="L54" s="14" t="n">
        <f aca="false">IF(L$5=$B$50,$B$52,IF(AND(L$5&gt;$B$50,L$5&lt;=IF('Unit Economics'!$F$41=1,9999,Assumptions!$F$64)),K59,0))</f>
        <v>0</v>
      </c>
    </row>
    <row r="55" customFormat="false" ht="15" hidden="false" customHeight="false" outlineLevel="0" collapsed="false">
      <c r="A55" s="6" t="s">
        <v>334</v>
      </c>
      <c r="C55" s="14" t="n">
        <f aca="false">C54*Assumptions!$F$19</f>
        <v>0</v>
      </c>
      <c r="D55" s="14" t="n">
        <f aca="false">D54*Assumptions!$F$19</f>
        <v>0</v>
      </c>
      <c r="E55" s="14" t="n">
        <f aca="false">E54*Assumptions!$F$19</f>
        <v>0</v>
      </c>
      <c r="F55" s="14" t="n">
        <f aca="false">F54*Assumptions!$F$19</f>
        <v>0</v>
      </c>
      <c r="G55" s="14" t="n">
        <f aca="false">G54*Assumptions!$F$19</f>
        <v>0</v>
      </c>
      <c r="H55" s="14" t="n">
        <f aca="false">H54*Assumptions!$F$19</f>
        <v>0</v>
      </c>
      <c r="I55" s="14" t="n">
        <f aca="false">I54*Assumptions!$F$19</f>
        <v>0</v>
      </c>
      <c r="J55" s="14" t="n">
        <f aca="false">J54*Assumptions!$F$19</f>
        <v>0</v>
      </c>
      <c r="K55" s="14" t="n">
        <f aca="false">K54*Assumptions!$F$19</f>
        <v>0</v>
      </c>
      <c r="L55" s="14" t="n">
        <f aca="false">L54*Assumptions!$F$19</f>
        <v>0</v>
      </c>
    </row>
    <row r="56" customFormat="false" ht="15" hidden="false" customHeight="false" outlineLevel="0" collapsed="false">
      <c r="A56" s="6" t="s">
        <v>335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336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337</v>
      </c>
      <c r="C58" s="14" t="n">
        <f aca="false">IF(C$5=IF('Unit Economics'!$F$41=1,9999,Assumptions!$F$64),C54-C57,0)</f>
        <v>0</v>
      </c>
      <c r="D58" s="14" t="n">
        <f aca="false">IF(D$5=IF('Unit Economics'!$F$41=1,9999,Assumptions!$F$64),D54-D57,0)</f>
        <v>0</v>
      </c>
      <c r="E58" s="14" t="n">
        <f aca="false">IF(E$5=IF('Unit Economics'!$F$41=1,9999,Assumptions!$F$64),E54-E57,0)</f>
        <v>0</v>
      </c>
      <c r="F58" s="14" t="n">
        <f aca="false">IF(F$5=IF('Unit Economics'!$F$41=1,9999,Assumptions!$F$64),F54-F57,0)</f>
        <v>0</v>
      </c>
      <c r="G58" s="14" t="n">
        <f aca="false">IF(G$5=IF('Unit Economics'!$F$41=1,9999,Assumptions!$F$64),G54-G57,0)</f>
        <v>0</v>
      </c>
      <c r="H58" s="14" t="n">
        <f aca="false">IF(H$5=IF('Unit Economics'!$F$41=1,9999,Assumptions!$F$64),H54-H57,0)</f>
        <v>0</v>
      </c>
      <c r="I58" s="14" t="n">
        <f aca="false">IF(I$5=IF('Unit Economics'!$F$41=1,9999,Assumptions!$F$64),I54-I57,0)</f>
        <v>0</v>
      </c>
      <c r="J58" s="14" t="n">
        <f aca="false">IF(J$5=IF('Unit Economics'!$F$41=1,9999,Assumptions!$F$64),J54-J57,0)</f>
        <v>0</v>
      </c>
      <c r="K58" s="14" t="n">
        <f aca="false">IF(K$5=IF('Unit Economics'!$F$41=1,9999,Assumptions!$F$64),K54-K57,0)</f>
        <v>0</v>
      </c>
      <c r="L58" s="14" t="n">
        <f aca="false">IF(L$5=IF('Unit Economics'!$F$41=1,9999,Assumptions!$F$64),L54-L57,0)</f>
        <v>0</v>
      </c>
    </row>
    <row r="59" customFormat="false" ht="15" hidden="false" customHeight="false" outlineLevel="0" collapsed="false">
      <c r="A59" s="6" t="s">
        <v>338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339</v>
      </c>
      <c r="C60" s="14" t="n">
        <f aca="false">IF(AND(C$5&gt;=$B$50,C$5&lt;IF('Unit Economics'!$F$41=1,9999,Assumptions!$F$64)),$B$51*(1-Assumptions!$F$74)^(C$5-$B$50+1),0)</f>
        <v>0</v>
      </c>
      <c r="D60" s="14" t="n">
        <f aca="false">IF(AND(D$5&gt;=$B$50,D$5&lt;IF('Unit Economics'!$F$41=1,9999,Assumptions!$F$64)),$B$51*(1-Assumptions!$F$74)^(D$5-$B$50+1),0)</f>
        <v>0</v>
      </c>
      <c r="E60" s="14" t="n">
        <f aca="false">IF(AND(E$5&gt;=$B$50,E$5&lt;IF('Unit Economics'!$F$41=1,9999,Assumptions!$F$64)),$B$51*(1-Assumptions!$F$74)^(E$5-$B$50+1),0)</f>
        <v>0</v>
      </c>
      <c r="F60" s="14" t="n">
        <f aca="false">IF(AND(F$5&gt;=$B$50,F$5&lt;IF('Unit Economics'!$F$41=1,9999,Assumptions!$F$64)),$B$51*(1-Assumptions!$F$74)^(F$5-$B$50+1),0)</f>
        <v>0</v>
      </c>
      <c r="G60" s="14" t="n">
        <f aca="false">IF(AND(G$5&gt;=$B$50,G$5&lt;IF('Unit Economics'!$F$41=1,9999,Assumptions!$F$64)),$B$51*(1-Assumptions!$F$74)^(G$5-$B$50+1),0)</f>
        <v>0</v>
      </c>
      <c r="H60" s="14" t="n">
        <f aca="false">IF(AND(H$5&gt;=$B$50,H$5&lt;IF('Unit Economics'!$F$41=1,9999,Assumptions!$F$64)),$B$51*(1-Assumptions!$F$74)^(H$5-$B$50+1),0)</f>
        <v>0</v>
      </c>
      <c r="I60" s="14" t="n">
        <f aca="false">IF(AND(I$5&gt;=$B$50,I$5&lt;IF('Unit Economics'!$F$41=1,9999,Assumptions!$F$64)),$B$51*(1-Assumptions!$F$74)^(I$5-$B$50+1),0)</f>
        <v>0</v>
      </c>
      <c r="J60" s="14" t="n">
        <f aca="false">IF(AND(J$5&gt;=$B$50,J$5&lt;IF('Unit Economics'!$F$41=1,9999,Assumptions!$F$64)),$B$51*(1-Assumptions!$F$74)^(J$5-$B$50+1),0)</f>
        <v>0</v>
      </c>
      <c r="K60" s="14" t="n">
        <f aca="false">IF(AND(K$5&gt;=$B$50,K$5&lt;IF('Unit Economics'!$F$41=1,9999,Assumptions!$F$64)),$B$51*(1-Assumptions!$F$74)^(K$5-$B$50+1),0)</f>
        <v>0</v>
      </c>
      <c r="L60" s="14" t="n">
        <f aca="false">IF(AND(L$5&gt;=$B$50,L$5&lt;IF('Unit Economics'!$F$41=1,9999,Assumptions!$F$64)),$B$51*(1-Assumptions!$F$74)^(L$5-$B$50+1),0)</f>
        <v>0</v>
      </c>
    </row>
    <row r="61" customFormat="false" ht="15" hidden="false" customHeight="false" outlineLevel="0" collapsed="false">
      <c r="A61" s="6" t="s">
        <v>340</v>
      </c>
      <c r="C61" s="14" t="n">
        <f aca="false">IF(AND(C$5=IF('Unit Economics'!$F$41=1,9999,Assumptions!$F$64),C$5&gt;=$B$50),$B$51*(1-Assumptions!$F$74)^(C$5-$B$50+0.5)*(1-Assumptions!$F$73),0)</f>
        <v>0</v>
      </c>
      <c r="D61" s="14" t="n">
        <f aca="false">IF(AND(D$5=IF('Unit Economics'!$F$41=1,9999,Assumptions!$F$64),D$5&gt;=$B$50),$B$51*(1-Assumptions!$F$74)^(D$5-$B$50+0.5)*(1-Assumptions!$F$73),0)</f>
        <v>0</v>
      </c>
      <c r="E61" s="14" t="n">
        <f aca="false">IF(AND(E$5=IF('Unit Economics'!$F$41=1,9999,Assumptions!$F$64),E$5&gt;=$B$50),$B$51*(1-Assumptions!$F$74)^(E$5-$B$50+0.5)*(1-Assumptions!$F$73),0)</f>
        <v>0</v>
      </c>
      <c r="F61" s="14" t="n">
        <f aca="false">IF(AND(F$5=IF('Unit Economics'!$F$41=1,9999,Assumptions!$F$64),F$5&gt;=$B$50),$B$51*(1-Assumptions!$F$74)^(F$5-$B$50+0.5)*(1-Assumptions!$F$73),0)</f>
        <v>0</v>
      </c>
      <c r="G61" s="14" t="n">
        <f aca="false">IF(AND(G$5=IF('Unit Economics'!$F$41=1,9999,Assumptions!$F$64),G$5&gt;=$B$50),$B$51*(1-Assumptions!$F$74)^(G$5-$B$50+0.5)*(1-Assumptions!$F$73),0)</f>
        <v>0</v>
      </c>
      <c r="H61" s="14" t="n">
        <f aca="false">IF(AND(H$5=IF('Unit Economics'!$F$41=1,9999,Assumptions!$F$64),H$5&gt;=$B$50),$B$51*(1-Assumptions!$F$74)^(H$5-$B$50+0.5)*(1-Assumptions!$F$73),0)</f>
        <v>0</v>
      </c>
      <c r="I61" s="14" t="n">
        <f aca="false">IF(AND(I$5=IF('Unit Economics'!$F$41=1,9999,Assumptions!$F$64),I$5&gt;=$B$50),$B$51*(1-Assumptions!$F$74)^(I$5-$B$50+0.5)*(1-Assumptions!$F$73),0)</f>
        <v>0</v>
      </c>
      <c r="J61" s="14" t="n">
        <f aca="false">IF(AND(J$5=IF('Unit Economics'!$F$41=1,9999,Assumptions!$F$64),J$5&gt;=$B$50),$B$51*(1-Assumptions!$F$74)^(J$5-$B$50+0.5)*(1-Assumptions!$F$73),0)</f>
        <v>0</v>
      </c>
      <c r="K61" s="14" t="n">
        <f aca="false">IF(AND(K$5=IF('Unit Economics'!$F$41=1,9999,Assumptions!$F$64),K$5&gt;=$B$50),$B$51*(1-Assumptions!$F$74)^(K$5-$B$50+0.5)*(1-Assumptions!$F$73),0)</f>
        <v>0</v>
      </c>
      <c r="L61" s="14" t="n">
        <f aca="false">IF(AND(L$5=IF('Unit Economics'!$F$41=1,9999,Assumptions!$F$64),L$5&gt;=$B$50),$B$51*(1-Assumptions!$F$74)^(L$5-$B$50+0.5)*(1-Assumptions!$F$73),0)</f>
        <v>0</v>
      </c>
    </row>
    <row r="63" customFormat="false" ht="15" hidden="false" customHeight="false" outlineLevel="0" collapsed="false">
      <c r="A63" s="17" t="s">
        <v>344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330</v>
      </c>
      <c r="B64" s="42" t="n">
        <f aca="false">2027+COUNTIF('Fleet Plan'!$C$20:$L$20,"&lt;5")</f>
        <v>2037</v>
      </c>
    </row>
    <row r="65" customFormat="false" ht="15" hidden="false" customHeight="false" outlineLevel="0" collapsed="false">
      <c r="A65" s="6" t="s">
        <v>331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274</v>
      </c>
      <c r="B66" s="14" t="n">
        <f aca="false">$B$65*Assumptions!$F$18</f>
        <v>0</v>
      </c>
    </row>
    <row r="67" customFormat="false" ht="15" hidden="false" customHeight="false" outlineLevel="0" collapsed="false">
      <c r="A67" s="6" t="s">
        <v>332</v>
      </c>
      <c r="B67" s="14" t="n">
        <f aca="false">IF($B$66=0,0,PMT(Assumptions!$F$19,Assumptions!$F$20,-$B$66))</f>
        <v>0</v>
      </c>
    </row>
    <row r="68" customFormat="false" ht="15" hidden="false" customHeight="false" outlineLevel="0" collapsed="false">
      <c r="A68" s="6" t="s">
        <v>333</v>
      </c>
      <c r="C68" s="14" t="n">
        <f aca="false">IF(C$5=$B$64,$B$66,IF(AND(C$5&gt;$B$64,C$5&lt;=IF('Unit Economics'!$F$41=1,9999,Assumptions!$F$64)),0,0))</f>
        <v>0</v>
      </c>
      <c r="D68" s="14" t="n">
        <f aca="false">IF(D$5=$B$64,$B$66,IF(AND(D$5&gt;$B$64,D$5&lt;=IF('Unit Economics'!$F$41=1,9999,Assumptions!$F$64)),C73,0))</f>
        <v>0</v>
      </c>
      <c r="E68" s="14" t="n">
        <f aca="false">IF(E$5=$B$64,$B$66,IF(AND(E$5&gt;$B$64,E$5&lt;=IF('Unit Economics'!$F$41=1,9999,Assumptions!$F$64)),D73,0))</f>
        <v>0</v>
      </c>
      <c r="F68" s="14" t="n">
        <f aca="false">IF(F$5=$B$64,$B$66,IF(AND(F$5&gt;$B$64,F$5&lt;=IF('Unit Economics'!$F$41=1,9999,Assumptions!$F$64)),E73,0))</f>
        <v>0</v>
      </c>
      <c r="G68" s="14" t="n">
        <f aca="false">IF(G$5=$B$64,$B$66,IF(AND(G$5&gt;$B$64,G$5&lt;=IF('Unit Economics'!$F$41=1,9999,Assumptions!$F$64)),F73,0))</f>
        <v>0</v>
      </c>
      <c r="H68" s="14" t="n">
        <f aca="false">IF(H$5=$B$64,$B$66,IF(AND(H$5&gt;$B$64,H$5&lt;=IF('Unit Economics'!$F$41=1,9999,Assumptions!$F$64)),G73,0))</f>
        <v>0</v>
      </c>
      <c r="I68" s="14" t="n">
        <f aca="false">IF(I$5=$B$64,$B$66,IF(AND(I$5&gt;$B$64,I$5&lt;=IF('Unit Economics'!$F$41=1,9999,Assumptions!$F$64)),H73,0))</f>
        <v>0</v>
      </c>
      <c r="J68" s="14" t="n">
        <f aca="false">IF(J$5=$B$64,$B$66,IF(AND(J$5&gt;$B$64,J$5&lt;=IF('Unit Economics'!$F$41=1,9999,Assumptions!$F$64)),I73,0))</f>
        <v>0</v>
      </c>
      <c r="K68" s="14" t="n">
        <f aca="false">IF(K$5=$B$64,$B$66,IF(AND(K$5&gt;$B$64,K$5&lt;=IF('Unit Economics'!$F$41=1,9999,Assumptions!$F$64)),J73,0))</f>
        <v>0</v>
      </c>
      <c r="L68" s="14" t="n">
        <f aca="false">IF(L$5=$B$64,$B$66,IF(AND(L$5&gt;$B$64,L$5&lt;=IF('Unit Economics'!$F$41=1,9999,Assumptions!$F$64)),K73,0))</f>
        <v>0</v>
      </c>
    </row>
    <row r="69" customFormat="false" ht="15" hidden="false" customHeight="false" outlineLevel="0" collapsed="false">
      <c r="A69" s="6" t="s">
        <v>334</v>
      </c>
      <c r="C69" s="14" t="n">
        <f aca="false">C68*Assumptions!$F$19</f>
        <v>0</v>
      </c>
      <c r="D69" s="14" t="n">
        <f aca="false">D68*Assumptions!$F$19</f>
        <v>0</v>
      </c>
      <c r="E69" s="14" t="n">
        <f aca="false">E68*Assumptions!$F$19</f>
        <v>0</v>
      </c>
      <c r="F69" s="14" t="n">
        <f aca="false">F68*Assumptions!$F$19</f>
        <v>0</v>
      </c>
      <c r="G69" s="14" t="n">
        <f aca="false">G68*Assumptions!$F$19</f>
        <v>0</v>
      </c>
      <c r="H69" s="14" t="n">
        <f aca="false">H68*Assumptions!$F$19</f>
        <v>0</v>
      </c>
      <c r="I69" s="14" t="n">
        <f aca="false">I68*Assumptions!$F$19</f>
        <v>0</v>
      </c>
      <c r="J69" s="14" t="n">
        <f aca="false">J68*Assumptions!$F$19</f>
        <v>0</v>
      </c>
      <c r="K69" s="14" t="n">
        <f aca="false">K68*Assumptions!$F$19</f>
        <v>0</v>
      </c>
      <c r="L69" s="14" t="n">
        <f aca="false">L68*Assumptions!$F$19</f>
        <v>0</v>
      </c>
    </row>
    <row r="70" customFormat="false" ht="15" hidden="false" customHeight="false" outlineLevel="0" collapsed="false">
      <c r="A70" s="6" t="s">
        <v>335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336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337</v>
      </c>
      <c r="C72" s="14" t="n">
        <f aca="false">IF(C$5=IF('Unit Economics'!$F$41=1,9999,Assumptions!$F$64),C68-C71,0)</f>
        <v>0</v>
      </c>
      <c r="D72" s="14" t="n">
        <f aca="false">IF(D$5=IF('Unit Economics'!$F$41=1,9999,Assumptions!$F$64),D68-D71,0)</f>
        <v>0</v>
      </c>
      <c r="E72" s="14" t="n">
        <f aca="false">IF(E$5=IF('Unit Economics'!$F$41=1,9999,Assumptions!$F$64),E68-E71,0)</f>
        <v>0</v>
      </c>
      <c r="F72" s="14" t="n">
        <f aca="false">IF(F$5=IF('Unit Economics'!$F$41=1,9999,Assumptions!$F$64),F68-F71,0)</f>
        <v>0</v>
      </c>
      <c r="G72" s="14" t="n">
        <f aca="false">IF(G$5=IF('Unit Economics'!$F$41=1,9999,Assumptions!$F$64),G68-G71,0)</f>
        <v>0</v>
      </c>
      <c r="H72" s="14" t="n">
        <f aca="false">IF(H$5=IF('Unit Economics'!$F$41=1,9999,Assumptions!$F$64),H68-H71,0)</f>
        <v>0</v>
      </c>
      <c r="I72" s="14" t="n">
        <f aca="false">IF(I$5=IF('Unit Economics'!$F$41=1,9999,Assumptions!$F$64),I68-I71,0)</f>
        <v>0</v>
      </c>
      <c r="J72" s="14" t="n">
        <f aca="false">IF(J$5=IF('Unit Economics'!$F$41=1,9999,Assumptions!$F$64),J68-J71,0)</f>
        <v>0</v>
      </c>
      <c r="K72" s="14" t="n">
        <f aca="false">IF(K$5=IF('Unit Economics'!$F$41=1,9999,Assumptions!$F$64),K68-K71,0)</f>
        <v>0</v>
      </c>
      <c r="L72" s="14" t="n">
        <f aca="false">IF(L$5=IF('Unit Economics'!$F$41=1,9999,Assumptions!$F$64),L68-L71,0)</f>
        <v>0</v>
      </c>
    </row>
    <row r="73" customFormat="false" ht="15" hidden="false" customHeight="false" outlineLevel="0" collapsed="false">
      <c r="A73" s="6" t="s">
        <v>338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339</v>
      </c>
      <c r="C74" s="14" t="n">
        <f aca="false">IF(AND(C$5&gt;=$B$64,C$5&lt;IF('Unit Economics'!$F$41=1,9999,Assumptions!$F$64)),$B$65*(1-Assumptions!$F$74)^(C$5-$B$64+1),0)</f>
        <v>0</v>
      </c>
      <c r="D74" s="14" t="n">
        <f aca="false">IF(AND(D$5&gt;=$B$64,D$5&lt;IF('Unit Economics'!$F$41=1,9999,Assumptions!$F$64)),$B$65*(1-Assumptions!$F$74)^(D$5-$B$64+1),0)</f>
        <v>0</v>
      </c>
      <c r="E74" s="14" t="n">
        <f aca="false">IF(AND(E$5&gt;=$B$64,E$5&lt;IF('Unit Economics'!$F$41=1,9999,Assumptions!$F$64)),$B$65*(1-Assumptions!$F$74)^(E$5-$B$64+1),0)</f>
        <v>0</v>
      </c>
      <c r="F74" s="14" t="n">
        <f aca="false">IF(AND(F$5&gt;=$B$64,F$5&lt;IF('Unit Economics'!$F$41=1,9999,Assumptions!$F$64)),$B$65*(1-Assumptions!$F$74)^(F$5-$B$64+1),0)</f>
        <v>0</v>
      </c>
      <c r="G74" s="14" t="n">
        <f aca="false">IF(AND(G$5&gt;=$B$64,G$5&lt;IF('Unit Economics'!$F$41=1,9999,Assumptions!$F$64)),$B$65*(1-Assumptions!$F$74)^(G$5-$B$64+1),0)</f>
        <v>0</v>
      </c>
      <c r="H74" s="14" t="n">
        <f aca="false">IF(AND(H$5&gt;=$B$64,H$5&lt;IF('Unit Economics'!$F$41=1,9999,Assumptions!$F$64)),$B$65*(1-Assumptions!$F$74)^(H$5-$B$64+1),0)</f>
        <v>0</v>
      </c>
      <c r="I74" s="14" t="n">
        <f aca="false">IF(AND(I$5&gt;=$B$64,I$5&lt;IF('Unit Economics'!$F$41=1,9999,Assumptions!$F$64)),$B$65*(1-Assumptions!$F$74)^(I$5-$B$64+1),0)</f>
        <v>0</v>
      </c>
      <c r="J74" s="14" t="n">
        <f aca="false">IF(AND(J$5&gt;=$B$64,J$5&lt;IF('Unit Economics'!$F$41=1,9999,Assumptions!$F$64)),$B$65*(1-Assumptions!$F$74)^(J$5-$B$64+1),0)</f>
        <v>0</v>
      </c>
      <c r="K74" s="14" t="n">
        <f aca="false">IF(AND(K$5&gt;=$B$64,K$5&lt;IF('Unit Economics'!$F$41=1,9999,Assumptions!$F$64)),$B$65*(1-Assumptions!$F$74)^(K$5-$B$64+1),0)</f>
        <v>0</v>
      </c>
      <c r="L74" s="14" t="n">
        <f aca="false">IF(AND(L$5&gt;=$B$64,L$5&lt;IF('Unit Economics'!$F$41=1,9999,Assumptions!$F$64)),$B$65*(1-Assumptions!$F$74)^(L$5-$B$64+1),0)</f>
        <v>0</v>
      </c>
    </row>
    <row r="75" customFormat="false" ht="15" hidden="false" customHeight="false" outlineLevel="0" collapsed="false">
      <c r="A75" s="6" t="s">
        <v>340</v>
      </c>
      <c r="C75" s="14" t="n">
        <f aca="false">IF(AND(C$5=IF('Unit Economics'!$F$41=1,9999,Assumptions!$F$64),C$5&gt;=$B$64),$B$65*(1-Assumptions!$F$74)^(C$5-$B$64+0.5)*(1-Assumptions!$F$73),0)</f>
        <v>0</v>
      </c>
      <c r="D75" s="14" t="n">
        <f aca="false">IF(AND(D$5=IF('Unit Economics'!$F$41=1,9999,Assumptions!$F$64),D$5&gt;=$B$64),$B$65*(1-Assumptions!$F$74)^(D$5-$B$64+0.5)*(1-Assumptions!$F$73),0)</f>
        <v>0</v>
      </c>
      <c r="E75" s="14" t="n">
        <f aca="false">IF(AND(E$5=IF('Unit Economics'!$F$41=1,9999,Assumptions!$F$64),E$5&gt;=$B$64),$B$65*(1-Assumptions!$F$74)^(E$5-$B$64+0.5)*(1-Assumptions!$F$73),0)</f>
        <v>0</v>
      </c>
      <c r="F75" s="14" t="n">
        <f aca="false">IF(AND(F$5=IF('Unit Economics'!$F$41=1,9999,Assumptions!$F$64),F$5&gt;=$B$64),$B$65*(1-Assumptions!$F$74)^(F$5-$B$64+0.5)*(1-Assumptions!$F$73),0)</f>
        <v>0</v>
      </c>
      <c r="G75" s="14" t="n">
        <f aca="false">IF(AND(G$5=IF('Unit Economics'!$F$41=1,9999,Assumptions!$F$64),G$5&gt;=$B$64),$B$65*(1-Assumptions!$F$74)^(G$5-$B$64+0.5)*(1-Assumptions!$F$73),0)</f>
        <v>0</v>
      </c>
      <c r="H75" s="14" t="n">
        <f aca="false">IF(AND(H$5=IF('Unit Economics'!$F$41=1,9999,Assumptions!$F$64),H$5&gt;=$B$64),$B$65*(1-Assumptions!$F$74)^(H$5-$B$64+0.5)*(1-Assumptions!$F$73),0)</f>
        <v>0</v>
      </c>
      <c r="I75" s="14" t="n">
        <f aca="false">IF(AND(I$5=IF('Unit Economics'!$F$41=1,9999,Assumptions!$F$64),I$5&gt;=$B$64),$B$65*(1-Assumptions!$F$74)^(I$5-$B$64+0.5)*(1-Assumptions!$F$73),0)</f>
        <v>0</v>
      </c>
      <c r="J75" s="14" t="n">
        <f aca="false">IF(AND(J$5=IF('Unit Economics'!$F$41=1,9999,Assumptions!$F$64),J$5&gt;=$B$64),$B$65*(1-Assumptions!$F$74)^(J$5-$B$64+0.5)*(1-Assumptions!$F$73),0)</f>
        <v>0</v>
      </c>
      <c r="K75" s="14" t="n">
        <f aca="false">IF(AND(K$5=IF('Unit Economics'!$F$41=1,9999,Assumptions!$F$64),K$5&gt;=$B$64),$B$65*(1-Assumptions!$F$74)^(K$5-$B$64+0.5)*(1-Assumptions!$F$73),0)</f>
        <v>0</v>
      </c>
      <c r="L75" s="14" t="n">
        <f aca="false">IF(AND(L$5=IF('Unit Economics'!$F$41=1,9999,Assumptions!$F$64),L$5&gt;=$B$64),$B$65*(1-Assumptions!$F$74)^(L$5-$B$64+0.5)*(1-Assumptions!$F$73),0)</f>
        <v>0</v>
      </c>
    </row>
    <row r="77" customFormat="false" ht="15" hidden="false" customHeight="false" outlineLevel="0" collapsed="false">
      <c r="A77" s="17" t="s">
        <v>345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330</v>
      </c>
      <c r="B78" s="42" t="n">
        <f aca="false">2027+COUNTIF('Fleet Plan'!$C$20:$L$20,"&lt;6")</f>
        <v>2037</v>
      </c>
    </row>
    <row r="79" customFormat="false" ht="15" hidden="false" customHeight="false" outlineLevel="0" collapsed="false">
      <c r="A79" s="6" t="s">
        <v>331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274</v>
      </c>
      <c r="B80" s="14" t="n">
        <f aca="false">$B$79*Assumptions!$F$18</f>
        <v>0</v>
      </c>
    </row>
    <row r="81" customFormat="false" ht="15" hidden="false" customHeight="false" outlineLevel="0" collapsed="false">
      <c r="A81" s="6" t="s">
        <v>332</v>
      </c>
      <c r="B81" s="14" t="n">
        <f aca="false">IF($B$80=0,0,PMT(Assumptions!$F$19,Assumptions!$F$20,-$B$80))</f>
        <v>0</v>
      </c>
    </row>
    <row r="82" customFormat="false" ht="15" hidden="false" customHeight="false" outlineLevel="0" collapsed="false">
      <c r="A82" s="6" t="s">
        <v>333</v>
      </c>
      <c r="C82" s="14" t="n">
        <f aca="false">IF(C$5=$B$78,$B$80,IF(AND(C$5&gt;$B$78,C$5&lt;=IF('Unit Economics'!$F$41=1,9999,Assumptions!$F$64)),0,0))</f>
        <v>0</v>
      </c>
      <c r="D82" s="14" t="n">
        <f aca="false">IF(D$5=$B$78,$B$80,IF(AND(D$5&gt;$B$78,D$5&lt;=IF('Unit Economics'!$F$41=1,9999,Assumptions!$F$64)),C87,0))</f>
        <v>0</v>
      </c>
      <c r="E82" s="14" t="n">
        <f aca="false">IF(E$5=$B$78,$B$80,IF(AND(E$5&gt;$B$78,E$5&lt;=IF('Unit Economics'!$F$41=1,9999,Assumptions!$F$64)),D87,0))</f>
        <v>0</v>
      </c>
      <c r="F82" s="14" t="n">
        <f aca="false">IF(F$5=$B$78,$B$80,IF(AND(F$5&gt;$B$78,F$5&lt;=IF('Unit Economics'!$F$41=1,9999,Assumptions!$F$64)),E87,0))</f>
        <v>0</v>
      </c>
      <c r="G82" s="14" t="n">
        <f aca="false">IF(G$5=$B$78,$B$80,IF(AND(G$5&gt;$B$78,G$5&lt;=IF('Unit Economics'!$F$41=1,9999,Assumptions!$F$64)),F87,0))</f>
        <v>0</v>
      </c>
      <c r="H82" s="14" t="n">
        <f aca="false">IF(H$5=$B$78,$B$80,IF(AND(H$5&gt;$B$78,H$5&lt;=IF('Unit Economics'!$F$41=1,9999,Assumptions!$F$64)),G87,0))</f>
        <v>0</v>
      </c>
      <c r="I82" s="14" t="n">
        <f aca="false">IF(I$5=$B$78,$B$80,IF(AND(I$5&gt;$B$78,I$5&lt;=IF('Unit Economics'!$F$41=1,9999,Assumptions!$F$64)),H87,0))</f>
        <v>0</v>
      </c>
      <c r="J82" s="14" t="n">
        <f aca="false">IF(J$5=$B$78,$B$80,IF(AND(J$5&gt;$B$78,J$5&lt;=IF('Unit Economics'!$F$41=1,9999,Assumptions!$F$64)),I87,0))</f>
        <v>0</v>
      </c>
      <c r="K82" s="14" t="n">
        <f aca="false">IF(K$5=$B$78,$B$80,IF(AND(K$5&gt;$B$78,K$5&lt;=IF('Unit Economics'!$F$41=1,9999,Assumptions!$F$64)),J87,0))</f>
        <v>0</v>
      </c>
      <c r="L82" s="14" t="n">
        <f aca="false">IF(L$5=$B$78,$B$80,IF(AND(L$5&gt;$B$78,L$5&lt;=IF('Unit Economics'!$F$41=1,9999,Assumptions!$F$64)),K87,0))</f>
        <v>0</v>
      </c>
    </row>
    <row r="83" customFormat="false" ht="15" hidden="false" customHeight="false" outlineLevel="0" collapsed="false">
      <c r="A83" s="6" t="s">
        <v>334</v>
      </c>
      <c r="C83" s="14" t="n">
        <f aca="false">C82*Assumptions!$F$19</f>
        <v>0</v>
      </c>
      <c r="D83" s="14" t="n">
        <f aca="false">D82*Assumptions!$F$19</f>
        <v>0</v>
      </c>
      <c r="E83" s="14" t="n">
        <f aca="false">E82*Assumptions!$F$19</f>
        <v>0</v>
      </c>
      <c r="F83" s="14" t="n">
        <f aca="false">F82*Assumptions!$F$19</f>
        <v>0</v>
      </c>
      <c r="G83" s="14" t="n">
        <f aca="false">G82*Assumptions!$F$19</f>
        <v>0</v>
      </c>
      <c r="H83" s="14" t="n">
        <f aca="false">H82*Assumptions!$F$19</f>
        <v>0</v>
      </c>
      <c r="I83" s="14" t="n">
        <f aca="false">I82*Assumptions!$F$19</f>
        <v>0</v>
      </c>
      <c r="J83" s="14" t="n">
        <f aca="false">J82*Assumptions!$F$19</f>
        <v>0</v>
      </c>
      <c r="K83" s="14" t="n">
        <f aca="false">K82*Assumptions!$F$19</f>
        <v>0</v>
      </c>
      <c r="L83" s="14" t="n">
        <f aca="false">L82*Assumptions!$F$19</f>
        <v>0</v>
      </c>
    </row>
    <row r="84" customFormat="false" ht="15" hidden="false" customHeight="false" outlineLevel="0" collapsed="false">
      <c r="A84" s="6" t="s">
        <v>335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336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337</v>
      </c>
      <c r="C86" s="14" t="n">
        <f aca="false">IF(C$5=IF('Unit Economics'!$F$41=1,9999,Assumptions!$F$64),C82-C85,0)</f>
        <v>0</v>
      </c>
      <c r="D86" s="14" t="n">
        <f aca="false">IF(D$5=IF('Unit Economics'!$F$41=1,9999,Assumptions!$F$64),D82-D85,0)</f>
        <v>0</v>
      </c>
      <c r="E86" s="14" t="n">
        <f aca="false">IF(E$5=IF('Unit Economics'!$F$41=1,9999,Assumptions!$F$64),E82-E85,0)</f>
        <v>0</v>
      </c>
      <c r="F86" s="14" t="n">
        <f aca="false">IF(F$5=IF('Unit Economics'!$F$41=1,9999,Assumptions!$F$64),F82-F85,0)</f>
        <v>0</v>
      </c>
      <c r="G86" s="14" t="n">
        <f aca="false">IF(G$5=IF('Unit Economics'!$F$41=1,9999,Assumptions!$F$64),G82-G85,0)</f>
        <v>0</v>
      </c>
      <c r="H86" s="14" t="n">
        <f aca="false">IF(H$5=IF('Unit Economics'!$F$41=1,9999,Assumptions!$F$64),H82-H85,0)</f>
        <v>0</v>
      </c>
      <c r="I86" s="14" t="n">
        <f aca="false">IF(I$5=IF('Unit Economics'!$F$41=1,9999,Assumptions!$F$64),I82-I85,0)</f>
        <v>0</v>
      </c>
      <c r="J86" s="14" t="n">
        <f aca="false">IF(J$5=IF('Unit Economics'!$F$41=1,9999,Assumptions!$F$64),J82-J85,0)</f>
        <v>0</v>
      </c>
      <c r="K86" s="14" t="n">
        <f aca="false">IF(K$5=IF('Unit Economics'!$F$41=1,9999,Assumptions!$F$64),K82-K85,0)</f>
        <v>0</v>
      </c>
      <c r="L86" s="14" t="n">
        <f aca="false">IF(L$5=IF('Unit Economics'!$F$41=1,9999,Assumptions!$F$64),L82-L85,0)</f>
        <v>0</v>
      </c>
    </row>
    <row r="87" customFormat="false" ht="15" hidden="false" customHeight="false" outlineLevel="0" collapsed="false">
      <c r="A87" s="6" t="s">
        <v>338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339</v>
      </c>
      <c r="C88" s="14" t="n">
        <f aca="false">IF(AND(C$5&gt;=$B$78,C$5&lt;IF('Unit Economics'!$F$41=1,9999,Assumptions!$F$64)),$B$79*(1-Assumptions!$F$74)^(C$5-$B$78+1),0)</f>
        <v>0</v>
      </c>
      <c r="D88" s="14" t="n">
        <f aca="false">IF(AND(D$5&gt;=$B$78,D$5&lt;IF('Unit Economics'!$F$41=1,9999,Assumptions!$F$64)),$B$79*(1-Assumptions!$F$74)^(D$5-$B$78+1),0)</f>
        <v>0</v>
      </c>
      <c r="E88" s="14" t="n">
        <f aca="false">IF(AND(E$5&gt;=$B$78,E$5&lt;IF('Unit Economics'!$F$41=1,9999,Assumptions!$F$64)),$B$79*(1-Assumptions!$F$74)^(E$5-$B$78+1),0)</f>
        <v>0</v>
      </c>
      <c r="F88" s="14" t="n">
        <f aca="false">IF(AND(F$5&gt;=$B$78,F$5&lt;IF('Unit Economics'!$F$41=1,9999,Assumptions!$F$64)),$B$79*(1-Assumptions!$F$74)^(F$5-$B$78+1),0)</f>
        <v>0</v>
      </c>
      <c r="G88" s="14" t="n">
        <f aca="false">IF(AND(G$5&gt;=$B$78,G$5&lt;IF('Unit Economics'!$F$41=1,9999,Assumptions!$F$64)),$B$79*(1-Assumptions!$F$74)^(G$5-$B$78+1),0)</f>
        <v>0</v>
      </c>
      <c r="H88" s="14" t="n">
        <f aca="false">IF(AND(H$5&gt;=$B$78,H$5&lt;IF('Unit Economics'!$F$41=1,9999,Assumptions!$F$64)),$B$79*(1-Assumptions!$F$74)^(H$5-$B$78+1),0)</f>
        <v>0</v>
      </c>
      <c r="I88" s="14" t="n">
        <f aca="false">IF(AND(I$5&gt;=$B$78,I$5&lt;IF('Unit Economics'!$F$41=1,9999,Assumptions!$F$64)),$B$79*(1-Assumptions!$F$74)^(I$5-$B$78+1),0)</f>
        <v>0</v>
      </c>
      <c r="J88" s="14" t="n">
        <f aca="false">IF(AND(J$5&gt;=$B$78,J$5&lt;IF('Unit Economics'!$F$41=1,9999,Assumptions!$F$64)),$B$79*(1-Assumptions!$F$74)^(J$5-$B$78+1),0)</f>
        <v>0</v>
      </c>
      <c r="K88" s="14" t="n">
        <f aca="false">IF(AND(K$5&gt;=$B$78,K$5&lt;IF('Unit Economics'!$F$41=1,9999,Assumptions!$F$64)),$B$79*(1-Assumptions!$F$74)^(K$5-$B$78+1),0)</f>
        <v>0</v>
      </c>
      <c r="L88" s="14" t="n">
        <f aca="false">IF(AND(L$5&gt;=$B$78,L$5&lt;IF('Unit Economics'!$F$41=1,9999,Assumptions!$F$64)),$B$79*(1-Assumptions!$F$74)^(L$5-$B$78+1),0)</f>
        <v>0</v>
      </c>
    </row>
    <row r="89" customFormat="false" ht="15" hidden="false" customHeight="false" outlineLevel="0" collapsed="false">
      <c r="A89" s="6" t="s">
        <v>340</v>
      </c>
      <c r="C89" s="14" t="n">
        <f aca="false">IF(AND(C$5=IF('Unit Economics'!$F$41=1,9999,Assumptions!$F$64),C$5&gt;=$B$78),$B$79*(1-Assumptions!$F$74)^(C$5-$B$78+0.5)*(1-Assumptions!$F$73),0)</f>
        <v>0</v>
      </c>
      <c r="D89" s="14" t="n">
        <f aca="false">IF(AND(D$5=IF('Unit Economics'!$F$41=1,9999,Assumptions!$F$64),D$5&gt;=$B$78),$B$79*(1-Assumptions!$F$74)^(D$5-$B$78+0.5)*(1-Assumptions!$F$73),0)</f>
        <v>0</v>
      </c>
      <c r="E89" s="14" t="n">
        <f aca="false">IF(AND(E$5=IF('Unit Economics'!$F$41=1,9999,Assumptions!$F$64),E$5&gt;=$B$78),$B$79*(1-Assumptions!$F$74)^(E$5-$B$78+0.5)*(1-Assumptions!$F$73),0)</f>
        <v>0</v>
      </c>
      <c r="F89" s="14" t="n">
        <f aca="false">IF(AND(F$5=IF('Unit Economics'!$F$41=1,9999,Assumptions!$F$64),F$5&gt;=$B$78),$B$79*(1-Assumptions!$F$74)^(F$5-$B$78+0.5)*(1-Assumptions!$F$73),0)</f>
        <v>0</v>
      </c>
      <c r="G89" s="14" t="n">
        <f aca="false">IF(AND(G$5=IF('Unit Economics'!$F$41=1,9999,Assumptions!$F$64),G$5&gt;=$B$78),$B$79*(1-Assumptions!$F$74)^(G$5-$B$78+0.5)*(1-Assumptions!$F$73),0)</f>
        <v>0</v>
      </c>
      <c r="H89" s="14" t="n">
        <f aca="false">IF(AND(H$5=IF('Unit Economics'!$F$41=1,9999,Assumptions!$F$64),H$5&gt;=$B$78),$B$79*(1-Assumptions!$F$74)^(H$5-$B$78+0.5)*(1-Assumptions!$F$73),0)</f>
        <v>0</v>
      </c>
      <c r="I89" s="14" t="n">
        <f aca="false">IF(AND(I$5=IF('Unit Economics'!$F$41=1,9999,Assumptions!$F$64),I$5&gt;=$B$78),$B$79*(1-Assumptions!$F$74)^(I$5-$B$78+0.5)*(1-Assumptions!$F$73),0)</f>
        <v>0</v>
      </c>
      <c r="J89" s="14" t="n">
        <f aca="false">IF(AND(J$5=IF('Unit Economics'!$F$41=1,9999,Assumptions!$F$64),J$5&gt;=$B$78),$B$79*(1-Assumptions!$F$74)^(J$5-$B$78+0.5)*(1-Assumptions!$F$73),0)</f>
        <v>0</v>
      </c>
      <c r="K89" s="14" t="n">
        <f aca="false">IF(AND(K$5=IF('Unit Economics'!$F$41=1,9999,Assumptions!$F$64),K$5&gt;=$B$78),$B$79*(1-Assumptions!$F$74)^(K$5-$B$78+0.5)*(1-Assumptions!$F$73),0)</f>
        <v>0</v>
      </c>
      <c r="L89" s="14" t="n">
        <f aca="false">IF(AND(L$5=IF('Unit Economics'!$F$41=1,9999,Assumptions!$F$64),L$5&gt;=$B$78),$B$79*(1-Assumptions!$F$74)^(L$5-$B$78+0.5)*(1-Assumptions!$F$73),0)</f>
        <v>0</v>
      </c>
    </row>
    <row r="91" customFormat="false" ht="15" hidden="false" customHeight="false" outlineLevel="0" collapsed="false">
      <c r="A91" s="17" t="s">
        <v>346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330</v>
      </c>
      <c r="B92" s="42" t="n">
        <f aca="false">2027+COUNTIF('Fleet Plan'!$C$20:$L$20,"&lt;7")</f>
        <v>2037</v>
      </c>
    </row>
    <row r="93" customFormat="false" ht="15" hidden="false" customHeight="false" outlineLevel="0" collapsed="false">
      <c r="A93" s="6" t="s">
        <v>331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274</v>
      </c>
      <c r="B94" s="14" t="n">
        <f aca="false">$B$93*Assumptions!$F$18</f>
        <v>0</v>
      </c>
    </row>
    <row r="95" customFormat="false" ht="15" hidden="false" customHeight="false" outlineLevel="0" collapsed="false">
      <c r="A95" s="6" t="s">
        <v>332</v>
      </c>
      <c r="B95" s="14" t="n">
        <f aca="false">IF($B$94=0,0,PMT(Assumptions!$F$19,Assumptions!$F$20,-$B$94))</f>
        <v>0</v>
      </c>
    </row>
    <row r="96" customFormat="false" ht="15" hidden="false" customHeight="false" outlineLevel="0" collapsed="false">
      <c r="A96" s="6" t="s">
        <v>333</v>
      </c>
      <c r="C96" s="14" t="n">
        <f aca="false">IF(C$5=$B$92,$B$94,IF(AND(C$5&gt;$B$92,C$5&lt;=IF('Unit Economics'!$F$41=1,9999,Assumptions!$F$64)),0,0))</f>
        <v>0</v>
      </c>
      <c r="D96" s="14" t="n">
        <f aca="false">IF(D$5=$B$92,$B$94,IF(AND(D$5&gt;$B$92,D$5&lt;=IF('Unit Economics'!$F$41=1,9999,Assumptions!$F$64)),C101,0))</f>
        <v>0</v>
      </c>
      <c r="E96" s="14" t="n">
        <f aca="false">IF(E$5=$B$92,$B$94,IF(AND(E$5&gt;$B$92,E$5&lt;=IF('Unit Economics'!$F$41=1,9999,Assumptions!$F$64)),D101,0))</f>
        <v>0</v>
      </c>
      <c r="F96" s="14" t="n">
        <f aca="false">IF(F$5=$B$92,$B$94,IF(AND(F$5&gt;$B$92,F$5&lt;=IF('Unit Economics'!$F$41=1,9999,Assumptions!$F$64)),E101,0))</f>
        <v>0</v>
      </c>
      <c r="G96" s="14" t="n">
        <f aca="false">IF(G$5=$B$92,$B$94,IF(AND(G$5&gt;$B$92,G$5&lt;=IF('Unit Economics'!$F$41=1,9999,Assumptions!$F$64)),F101,0))</f>
        <v>0</v>
      </c>
      <c r="H96" s="14" t="n">
        <f aca="false">IF(H$5=$B$92,$B$94,IF(AND(H$5&gt;$B$92,H$5&lt;=IF('Unit Economics'!$F$41=1,9999,Assumptions!$F$64)),G101,0))</f>
        <v>0</v>
      </c>
      <c r="I96" s="14" t="n">
        <f aca="false">IF(I$5=$B$92,$B$94,IF(AND(I$5&gt;$B$92,I$5&lt;=IF('Unit Economics'!$F$41=1,9999,Assumptions!$F$64)),H101,0))</f>
        <v>0</v>
      </c>
      <c r="J96" s="14" t="n">
        <f aca="false">IF(J$5=$B$92,$B$94,IF(AND(J$5&gt;$B$92,J$5&lt;=IF('Unit Economics'!$F$41=1,9999,Assumptions!$F$64)),I101,0))</f>
        <v>0</v>
      </c>
      <c r="K96" s="14" t="n">
        <f aca="false">IF(K$5=$B$92,$B$94,IF(AND(K$5&gt;$B$92,K$5&lt;=IF('Unit Economics'!$F$41=1,9999,Assumptions!$F$64)),J101,0))</f>
        <v>0</v>
      </c>
      <c r="L96" s="14" t="n">
        <f aca="false">IF(L$5=$B$92,$B$94,IF(AND(L$5&gt;$B$92,L$5&lt;=IF('Unit Economics'!$F$41=1,9999,Assumptions!$F$64)),K101,0))</f>
        <v>0</v>
      </c>
    </row>
    <row r="97" customFormat="false" ht="15" hidden="false" customHeight="false" outlineLevel="0" collapsed="false">
      <c r="A97" s="6" t="s">
        <v>334</v>
      </c>
      <c r="C97" s="14" t="n">
        <f aca="false">C96*Assumptions!$F$19</f>
        <v>0</v>
      </c>
      <c r="D97" s="14" t="n">
        <f aca="false">D96*Assumptions!$F$19</f>
        <v>0</v>
      </c>
      <c r="E97" s="14" t="n">
        <f aca="false">E96*Assumptions!$F$19</f>
        <v>0</v>
      </c>
      <c r="F97" s="14" t="n">
        <f aca="false">F96*Assumptions!$F$19</f>
        <v>0</v>
      </c>
      <c r="G97" s="14" t="n">
        <f aca="false">G96*Assumptions!$F$19</f>
        <v>0</v>
      </c>
      <c r="H97" s="14" t="n">
        <f aca="false">H96*Assumptions!$F$19</f>
        <v>0</v>
      </c>
      <c r="I97" s="14" t="n">
        <f aca="false">I96*Assumptions!$F$19</f>
        <v>0</v>
      </c>
      <c r="J97" s="14" t="n">
        <f aca="false">J96*Assumptions!$F$19</f>
        <v>0</v>
      </c>
      <c r="K97" s="14" t="n">
        <f aca="false">K96*Assumptions!$F$19</f>
        <v>0</v>
      </c>
      <c r="L97" s="14" t="n">
        <f aca="false">L96*Assumptions!$F$19</f>
        <v>0</v>
      </c>
    </row>
    <row r="98" customFormat="false" ht="15" hidden="false" customHeight="false" outlineLevel="0" collapsed="false">
      <c r="A98" s="6" t="s">
        <v>335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336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337</v>
      </c>
      <c r="C100" s="14" t="n">
        <f aca="false">IF(C$5=IF('Unit Economics'!$F$41=1,9999,Assumptions!$F$64),C96-C99,0)</f>
        <v>0</v>
      </c>
      <c r="D100" s="14" t="n">
        <f aca="false">IF(D$5=IF('Unit Economics'!$F$41=1,9999,Assumptions!$F$64),D96-D99,0)</f>
        <v>0</v>
      </c>
      <c r="E100" s="14" t="n">
        <f aca="false">IF(E$5=IF('Unit Economics'!$F$41=1,9999,Assumptions!$F$64),E96-E99,0)</f>
        <v>0</v>
      </c>
      <c r="F100" s="14" t="n">
        <f aca="false">IF(F$5=IF('Unit Economics'!$F$41=1,9999,Assumptions!$F$64),F96-F99,0)</f>
        <v>0</v>
      </c>
      <c r="G100" s="14" t="n">
        <f aca="false">IF(G$5=IF('Unit Economics'!$F$41=1,9999,Assumptions!$F$64),G96-G99,0)</f>
        <v>0</v>
      </c>
      <c r="H100" s="14" t="n">
        <f aca="false">IF(H$5=IF('Unit Economics'!$F$41=1,9999,Assumptions!$F$64),H96-H99,0)</f>
        <v>0</v>
      </c>
      <c r="I100" s="14" t="n">
        <f aca="false">IF(I$5=IF('Unit Economics'!$F$41=1,9999,Assumptions!$F$64),I96-I99,0)</f>
        <v>0</v>
      </c>
      <c r="J100" s="14" t="n">
        <f aca="false">IF(J$5=IF('Unit Economics'!$F$41=1,9999,Assumptions!$F$64),J96-J99,0)</f>
        <v>0</v>
      </c>
      <c r="K100" s="14" t="n">
        <f aca="false">IF(K$5=IF('Unit Economics'!$F$41=1,9999,Assumptions!$F$64),K96-K99,0)</f>
        <v>0</v>
      </c>
      <c r="L100" s="14" t="n">
        <f aca="false">IF(L$5=IF('Unit Economics'!$F$41=1,9999,Assumptions!$F$64),L96-L99,0)</f>
        <v>0</v>
      </c>
    </row>
    <row r="101" customFormat="false" ht="15" hidden="false" customHeight="false" outlineLevel="0" collapsed="false">
      <c r="A101" s="6" t="s">
        <v>338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339</v>
      </c>
      <c r="C102" s="14" t="n">
        <f aca="false">IF(AND(C$5&gt;=$B$92,C$5&lt;IF('Unit Economics'!$F$41=1,9999,Assumptions!$F$64)),$B$93*(1-Assumptions!$F$74)^(C$5-$B$92+1),0)</f>
        <v>0</v>
      </c>
      <c r="D102" s="14" t="n">
        <f aca="false">IF(AND(D$5&gt;=$B$92,D$5&lt;IF('Unit Economics'!$F$41=1,9999,Assumptions!$F$64)),$B$93*(1-Assumptions!$F$74)^(D$5-$B$92+1),0)</f>
        <v>0</v>
      </c>
      <c r="E102" s="14" t="n">
        <f aca="false">IF(AND(E$5&gt;=$B$92,E$5&lt;IF('Unit Economics'!$F$41=1,9999,Assumptions!$F$64)),$B$93*(1-Assumptions!$F$74)^(E$5-$B$92+1),0)</f>
        <v>0</v>
      </c>
      <c r="F102" s="14" t="n">
        <f aca="false">IF(AND(F$5&gt;=$B$92,F$5&lt;IF('Unit Economics'!$F$41=1,9999,Assumptions!$F$64)),$B$93*(1-Assumptions!$F$74)^(F$5-$B$92+1),0)</f>
        <v>0</v>
      </c>
      <c r="G102" s="14" t="n">
        <f aca="false">IF(AND(G$5&gt;=$B$92,G$5&lt;IF('Unit Economics'!$F$41=1,9999,Assumptions!$F$64)),$B$93*(1-Assumptions!$F$74)^(G$5-$B$92+1),0)</f>
        <v>0</v>
      </c>
      <c r="H102" s="14" t="n">
        <f aca="false">IF(AND(H$5&gt;=$B$92,H$5&lt;IF('Unit Economics'!$F$41=1,9999,Assumptions!$F$64)),$B$93*(1-Assumptions!$F$74)^(H$5-$B$92+1),0)</f>
        <v>0</v>
      </c>
      <c r="I102" s="14" t="n">
        <f aca="false">IF(AND(I$5&gt;=$B$92,I$5&lt;IF('Unit Economics'!$F$41=1,9999,Assumptions!$F$64)),$B$93*(1-Assumptions!$F$74)^(I$5-$B$92+1),0)</f>
        <v>0</v>
      </c>
      <c r="J102" s="14" t="n">
        <f aca="false">IF(AND(J$5&gt;=$B$92,J$5&lt;IF('Unit Economics'!$F$41=1,9999,Assumptions!$F$64)),$B$93*(1-Assumptions!$F$74)^(J$5-$B$92+1),0)</f>
        <v>0</v>
      </c>
      <c r="K102" s="14" t="n">
        <f aca="false">IF(AND(K$5&gt;=$B$92,K$5&lt;IF('Unit Economics'!$F$41=1,9999,Assumptions!$F$64)),$B$93*(1-Assumptions!$F$74)^(K$5-$B$92+1),0)</f>
        <v>0</v>
      </c>
      <c r="L102" s="14" t="n">
        <f aca="false">IF(AND(L$5&gt;=$B$92,L$5&lt;IF('Unit Economics'!$F$41=1,9999,Assumptions!$F$64)),$B$93*(1-Assumptions!$F$74)^(L$5-$B$92+1),0)</f>
        <v>0</v>
      </c>
    </row>
    <row r="103" customFormat="false" ht="15" hidden="false" customHeight="false" outlineLevel="0" collapsed="false">
      <c r="A103" s="6" t="s">
        <v>340</v>
      </c>
      <c r="C103" s="14" t="n">
        <f aca="false">IF(AND(C$5=IF('Unit Economics'!$F$41=1,9999,Assumptions!$F$64),C$5&gt;=$B$92),$B$93*(1-Assumptions!$F$74)^(C$5-$B$92+0.5)*(1-Assumptions!$F$73),0)</f>
        <v>0</v>
      </c>
      <c r="D103" s="14" t="n">
        <f aca="false">IF(AND(D$5=IF('Unit Economics'!$F$41=1,9999,Assumptions!$F$64),D$5&gt;=$B$92),$B$93*(1-Assumptions!$F$74)^(D$5-$B$92+0.5)*(1-Assumptions!$F$73),0)</f>
        <v>0</v>
      </c>
      <c r="E103" s="14" t="n">
        <f aca="false">IF(AND(E$5=IF('Unit Economics'!$F$41=1,9999,Assumptions!$F$64),E$5&gt;=$B$92),$B$93*(1-Assumptions!$F$74)^(E$5-$B$92+0.5)*(1-Assumptions!$F$73),0)</f>
        <v>0</v>
      </c>
      <c r="F103" s="14" t="n">
        <f aca="false">IF(AND(F$5=IF('Unit Economics'!$F$41=1,9999,Assumptions!$F$64),F$5&gt;=$B$92),$B$93*(1-Assumptions!$F$74)^(F$5-$B$92+0.5)*(1-Assumptions!$F$73),0)</f>
        <v>0</v>
      </c>
      <c r="G103" s="14" t="n">
        <f aca="false">IF(AND(G$5=IF('Unit Economics'!$F$41=1,9999,Assumptions!$F$64),G$5&gt;=$B$92),$B$93*(1-Assumptions!$F$74)^(G$5-$B$92+0.5)*(1-Assumptions!$F$73),0)</f>
        <v>0</v>
      </c>
      <c r="H103" s="14" t="n">
        <f aca="false">IF(AND(H$5=IF('Unit Economics'!$F$41=1,9999,Assumptions!$F$64),H$5&gt;=$B$92),$B$93*(1-Assumptions!$F$74)^(H$5-$B$92+0.5)*(1-Assumptions!$F$73),0)</f>
        <v>0</v>
      </c>
      <c r="I103" s="14" t="n">
        <f aca="false">IF(AND(I$5=IF('Unit Economics'!$F$41=1,9999,Assumptions!$F$64),I$5&gt;=$B$92),$B$93*(1-Assumptions!$F$74)^(I$5-$B$92+0.5)*(1-Assumptions!$F$73),0)</f>
        <v>0</v>
      </c>
      <c r="J103" s="14" t="n">
        <f aca="false">IF(AND(J$5=IF('Unit Economics'!$F$41=1,9999,Assumptions!$F$64),J$5&gt;=$B$92),$B$93*(1-Assumptions!$F$74)^(J$5-$B$92+0.5)*(1-Assumptions!$F$73),0)</f>
        <v>0</v>
      </c>
      <c r="K103" s="14" t="n">
        <f aca="false">IF(AND(K$5=IF('Unit Economics'!$F$41=1,9999,Assumptions!$F$64),K$5&gt;=$B$92),$B$93*(1-Assumptions!$F$74)^(K$5-$B$92+0.5)*(1-Assumptions!$F$73),0)</f>
        <v>0</v>
      </c>
      <c r="L103" s="14" t="n">
        <f aca="false">IF(AND(L$5=IF('Unit Economics'!$F$41=1,9999,Assumptions!$F$64),L$5&gt;=$B$92),$B$93*(1-Assumptions!$F$74)^(L$5-$B$92+0.5)*(1-Assumptions!$F$73),0)</f>
        <v>0</v>
      </c>
    </row>
    <row r="105" customFormat="false" ht="15" hidden="false" customHeight="false" outlineLevel="0" collapsed="false">
      <c r="A105" s="17" t="s">
        <v>347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348</v>
      </c>
      <c r="C106" s="24" t="n">
        <f aca="false">C13+C27+C41+C55+C69+C83+C97</f>
        <v>667000</v>
      </c>
      <c r="D106" s="24" t="n">
        <f aca="false">D13+D27+D41+D55+D69+D83+D97</f>
        <v>640963.887871814</v>
      </c>
      <c r="E106" s="24" t="n">
        <f aca="false">E13+E27+E41+E55+E69+E83+E97</f>
        <v>613040.157614334</v>
      </c>
      <c r="F106" s="24" t="n">
        <f aca="false">F13+F27+F41+F55+F69+F83+F97</f>
        <v>0</v>
      </c>
      <c r="G106" s="24" t="n">
        <f aca="false">G13+G27+G41+G55+G69+G83+G97</f>
        <v>0</v>
      </c>
      <c r="H106" s="24" t="n">
        <f aca="false">H13+H27+H41+H55+H69+H83+H97</f>
        <v>0</v>
      </c>
      <c r="I106" s="24" t="n">
        <f aca="false">I13+I27+I41+I55+I69+I83+I97</f>
        <v>0</v>
      </c>
      <c r="J106" s="24" t="n">
        <f aca="false">J13+J27+J41+J55+J69+J83+J97</f>
        <v>0</v>
      </c>
      <c r="K106" s="24" t="n">
        <f aca="false">K13+K27+K41+K55+K69+K83+K97</f>
        <v>0</v>
      </c>
      <c r="L106" s="24" t="n">
        <f aca="false">L13+L27+L41+L55+L69+L83+L97</f>
        <v>0</v>
      </c>
    </row>
    <row r="107" customFormat="false" ht="15" hidden="false" customHeight="false" outlineLevel="0" collapsed="false">
      <c r="A107" s="11" t="s">
        <v>349</v>
      </c>
      <c r="C107" s="24" t="n">
        <f aca="false">C15+C29+C43+C57+C71+C85+C99</f>
        <v>359118.787974984</v>
      </c>
      <c r="D107" s="24" t="n">
        <f aca="false">D15+D29+D43+D57+D71+D85+D99</f>
        <v>385154.90010317</v>
      </c>
      <c r="E107" s="24" t="n">
        <f aca="false">E15+E29+E43+E57+E71+E85+E99</f>
        <v>413078.63036065</v>
      </c>
      <c r="F107" s="24" t="n">
        <f aca="false">F15+F29+F43+F57+F71+F85+F99</f>
        <v>0</v>
      </c>
      <c r="G107" s="24" t="n">
        <f aca="false">G15+G29+G43+G57+G71+G85+G99</f>
        <v>0</v>
      </c>
      <c r="H107" s="24" t="n">
        <f aca="false">H15+H29+H43+H57+H71+H85+H99</f>
        <v>0</v>
      </c>
      <c r="I107" s="24" t="n">
        <f aca="false">I15+I29+I43+I57+I71+I85+I99</f>
        <v>0</v>
      </c>
      <c r="J107" s="24" t="n">
        <f aca="false">J15+J29+J43+J57+J71+J85+J99</f>
        <v>0</v>
      </c>
      <c r="K107" s="24" t="n">
        <f aca="false">K15+K29+K43+K57+K71+K85+K99</f>
        <v>0</v>
      </c>
      <c r="L107" s="24" t="n">
        <f aca="false">L15+L29+L43+L57+L71+L85+L99</f>
        <v>0</v>
      </c>
    </row>
    <row r="108" customFormat="false" ht="15" hidden="false" customHeight="false" outlineLevel="0" collapsed="false">
      <c r="A108" s="11" t="s">
        <v>350</v>
      </c>
      <c r="C108" s="24" t="n">
        <f aca="false">C17+C31+C45+C59+C73+C87+C101</f>
        <v>8840881.21202502</v>
      </c>
      <c r="D108" s="24" t="n">
        <f aca="false">D17+D31+D45+D59+D73+D87+D101</f>
        <v>8455726.31192185</v>
      </c>
      <c r="E108" s="24" t="n">
        <f aca="false">E17+E31+E45+E59+E73+E87+E101</f>
        <v>0</v>
      </c>
      <c r="F108" s="24" t="n">
        <f aca="false">F17+F31+F45+F59+F73+F87+F101</f>
        <v>0</v>
      </c>
      <c r="G108" s="24" t="n">
        <f aca="false">G17+G31+G45+G59+G73+G87+G101</f>
        <v>0</v>
      </c>
      <c r="H108" s="24" t="n">
        <f aca="false">H17+H31+H45+H59+H73+H87+H101</f>
        <v>0</v>
      </c>
      <c r="I108" s="24" t="n">
        <f aca="false">I17+I31+I45+I59+I73+I87+I101</f>
        <v>0</v>
      </c>
      <c r="J108" s="24" t="n">
        <f aca="false">J17+J31+J45+J59+J73+J87+J101</f>
        <v>0</v>
      </c>
      <c r="K108" s="24" t="n">
        <f aca="false">K17+K31+K45+K59+K73+K87+K101</f>
        <v>0</v>
      </c>
      <c r="L108" s="24" t="n">
        <f aca="false">L17+L31+L45+L59+L73+L87+L101</f>
        <v>0</v>
      </c>
    </row>
    <row r="109" customFormat="false" ht="15" hidden="false" customHeight="false" outlineLevel="0" collapsed="false">
      <c r="A109" s="11" t="s">
        <v>351</v>
      </c>
      <c r="C109" s="24" t="n">
        <f aca="false">C18+C32+C46+C60+C74+C88+C102</f>
        <v>10810000</v>
      </c>
      <c r="D109" s="24" t="n">
        <f aca="false">D18+D32+D46+D60+D74+D88+D102</f>
        <v>10161400</v>
      </c>
      <c r="E109" s="24" t="n">
        <f aca="false">E18+E32+E46+E60+E74+E88+E102</f>
        <v>0</v>
      </c>
      <c r="F109" s="24" t="n">
        <f aca="false">F18+F32+F46+F60+F74+F88+F102</f>
        <v>0</v>
      </c>
      <c r="G109" s="24" t="n">
        <f aca="false">G18+G32+G46+G60+G74+G88+G102</f>
        <v>0</v>
      </c>
      <c r="H109" s="24" t="n">
        <f aca="false">H18+H32+H46+H60+H74+H88+H102</f>
        <v>0</v>
      </c>
      <c r="I109" s="24" t="n">
        <f aca="false">I18+I32+I46+I60+I74+I88+I102</f>
        <v>0</v>
      </c>
      <c r="J109" s="24" t="n">
        <f aca="false">J18+J32+J46+J60+J74+J88+J102</f>
        <v>0</v>
      </c>
      <c r="K109" s="24" t="n">
        <f aca="false">K18+K32+K46+K60+K74+K88+K102</f>
        <v>0</v>
      </c>
      <c r="L109" s="24" t="n">
        <f aca="false">L18+L32+L46+L60+L74+L88+L102</f>
        <v>0</v>
      </c>
    </row>
    <row r="110" customFormat="false" ht="15" hidden="false" customHeight="false" outlineLevel="0" collapsed="false">
      <c r="A110" s="11" t="s">
        <v>352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8042647.6815612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353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9654805.96421746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438</v>
      </c>
    </row>
    <row r="2" customFormat="false" ht="15" hidden="false" customHeight="false" outlineLevel="0" collapsed="false">
      <c r="A2" s="2" t="s">
        <v>355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296</v>
      </c>
      <c r="B4" s="5"/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</row>
    <row r="5" customFormat="false" ht="15" hidden="false" customHeight="false" outlineLevel="0" collapsed="false">
      <c r="A5" s="11" t="s">
        <v>328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356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357</v>
      </c>
      <c r="C7" s="21" t="n">
        <f aca="false">IF(OR(C5&lt;'Fleet Plan'!$B$18+Assumptions!$F$57,AND('Unit Economics'!$F$41=0,SUM('Fleet Plan'!$C$19:$L$19)=0)),1,0)</f>
        <v>1</v>
      </c>
      <c r="D7" s="21" t="n">
        <f aca="false">IF(OR(D5&lt;'Fleet Plan'!$B$18+Assumptions!$F$57,AND('Unit Economics'!$F$41=0,SUM('Fleet Plan'!$C$19:$L$19)=0)),1,0)</f>
        <v>1</v>
      </c>
      <c r="E7" s="21" t="n">
        <f aca="false">IF(OR(E5&lt;'Fleet Plan'!$B$18+Assumptions!$F$57,AND('Unit Economics'!$F$41=0,SUM('Fleet Plan'!$C$19:$L$19)=0)),1,0)</f>
        <v>1</v>
      </c>
      <c r="F7" s="21" t="n">
        <f aca="false">IF(OR(F5&lt;'Fleet Plan'!$B$18+Assumptions!$F$57,AND('Unit Economics'!$F$41=0,SUM('Fleet Plan'!$C$19:$L$19)=0)),1,0)</f>
        <v>0</v>
      </c>
      <c r="G7" s="21" t="n">
        <f aca="false">IF(OR(G5&lt;'Fleet Plan'!$B$18+Assumptions!$F$57,AND('Unit Economics'!$F$41=0,SUM('Fleet Plan'!$C$19:$L$19)=0)),1,0)</f>
        <v>0</v>
      </c>
      <c r="H7" s="21" t="n">
        <f aca="false">IF(OR(H5&lt;'Fleet Plan'!$B$18+Assumptions!$F$57,AND('Unit Economics'!$F$41=0,SUM('Fleet Plan'!$C$19:$L$19)=0)),1,0)</f>
        <v>0</v>
      </c>
      <c r="I7" s="21" t="n">
        <f aca="false">IF(OR(I5&lt;'Fleet Plan'!$B$18+Assumptions!$F$57,AND('Unit Economics'!$F$41=0,SUM('Fleet Plan'!$C$19:$L$19)=0)),1,0)</f>
        <v>0</v>
      </c>
      <c r="J7" s="21" t="n">
        <f aca="false">IF(OR(J5&lt;'Fleet Plan'!$B$18+Assumptions!$F$57,AND('Unit Economics'!$F$41=0,SUM('Fleet Plan'!$C$19:$L$19)=0)),1,0)</f>
        <v>0</v>
      </c>
      <c r="K7" s="21" t="n">
        <f aca="false">IF(OR(K5&lt;'Fleet Plan'!$B$18+Assumptions!$F$57,AND('Unit Economics'!$F$41=0,SUM('Fleet Plan'!$C$19:$L$19)=0)),1,0)</f>
        <v>0</v>
      </c>
      <c r="L7" s="21" t="n">
        <f aca="false">IF(OR(L5&lt;'Fleet Plan'!$B$18+Assumptions!$F$57,AND('Unit Economics'!$F$41=0,SUM('Fleet Plan'!$C$19:$L$19)=0)),1,0)</f>
        <v>0</v>
      </c>
    </row>
    <row r="8" customFormat="false" ht="15" hidden="false" customHeight="false" outlineLevel="0" collapsed="false">
      <c r="A8" s="6" t="s">
        <v>358</v>
      </c>
      <c r="C8" s="44" t="n">
        <f aca="false">(1+Assumptions!$F$54)^C6</f>
        <v>1</v>
      </c>
      <c r="D8" s="44" t="n">
        <f aca="false">(1+Assumptions!$F$54)^D6</f>
        <v>1.03</v>
      </c>
      <c r="E8" s="44" t="n">
        <f aca="false">(1+Assumptions!$F$54)^E6</f>
        <v>1.0609</v>
      </c>
      <c r="F8" s="44" t="n">
        <f aca="false">(1+Assumptions!$F$54)^F6</f>
        <v>1.092727</v>
      </c>
      <c r="G8" s="44" t="n">
        <f aca="false">(1+Assumptions!$F$54)^G6</f>
        <v>1.12550881</v>
      </c>
      <c r="H8" s="44" t="n">
        <f aca="false">(1+Assumptions!$F$54)^H6</f>
        <v>1.1592740743</v>
      </c>
      <c r="I8" s="44" t="n">
        <f aca="false">(1+Assumptions!$F$54)^I6</f>
        <v>1.194052296529</v>
      </c>
      <c r="J8" s="44" t="n">
        <f aca="false">(1+Assumptions!$F$54)^J6</f>
        <v>1.22987386542487</v>
      </c>
      <c r="K8" s="44" t="n">
        <f aca="false">(1+Assumptions!$F$54)^K6</f>
        <v>1.26677008138762</v>
      </c>
      <c r="L8" s="44" t="n">
        <f aca="false">(1+Assumptions!$F$54)^L6</f>
        <v>1.30477318382925</v>
      </c>
    </row>
    <row r="10" customFormat="false" ht="15" hidden="false" customHeight="false" outlineLevel="0" collapsed="false">
      <c r="A10" s="17" t="s">
        <v>359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360</v>
      </c>
      <c r="C11" s="21" t="n">
        <f aca="false">'Fleet Plan'!C21</f>
        <v>1</v>
      </c>
      <c r="D11" s="21" t="n">
        <f aca="false">'Fleet Plan'!D21</f>
        <v>1</v>
      </c>
      <c r="E11" s="21" t="n">
        <f aca="false">'Fleet Plan'!E21</f>
        <v>0</v>
      </c>
      <c r="F11" s="21" t="n">
        <f aca="false">'Fleet Plan'!F21</f>
        <v>0</v>
      </c>
      <c r="G11" s="21" t="n">
        <f aca="false">'Fleet Plan'!G21</f>
        <v>0</v>
      </c>
      <c r="H11" s="21" t="n">
        <f aca="false">'Fleet Plan'!H21</f>
        <v>0</v>
      </c>
      <c r="I11" s="21" t="n">
        <f aca="false">'Fleet Plan'!I21</f>
        <v>0</v>
      </c>
      <c r="J11" s="21" t="n">
        <f aca="false">'Fleet Plan'!J21</f>
        <v>0</v>
      </c>
      <c r="K11" s="21" t="n">
        <f aca="false">'Fleet Plan'!K21</f>
        <v>0</v>
      </c>
      <c r="L11" s="21" t="n">
        <f aca="false">'Fleet Plan'!L21</f>
        <v>0</v>
      </c>
    </row>
    <row r="12" customFormat="false" ht="15" hidden="false" customHeight="false" outlineLevel="0" collapsed="false">
      <c r="A12" s="6" t="s">
        <v>361</v>
      </c>
      <c r="C12" s="45" t="n">
        <f aca="false">C11*Assumptions!$F$23/12</f>
        <v>0.5</v>
      </c>
      <c r="D12" s="46" t="n">
        <f aca="false">(C11+D11)/2</f>
        <v>1</v>
      </c>
      <c r="E12" s="46" t="n">
        <f aca="false">(D11+E11)/2</f>
        <v>0.5</v>
      </c>
      <c r="F12" s="46" t="n">
        <f aca="false">(E11+F11)/2</f>
        <v>0</v>
      </c>
      <c r="G12" s="46" t="n">
        <f aca="false">(F11+G11)/2</f>
        <v>0</v>
      </c>
      <c r="H12" s="46" t="n">
        <f aca="false">(G11+H11)/2</f>
        <v>0</v>
      </c>
      <c r="I12" s="46" t="n">
        <f aca="false">(H11+I11)/2</f>
        <v>0</v>
      </c>
      <c r="J12" s="46" t="n">
        <f aca="false">(I11+J11)/2</f>
        <v>0</v>
      </c>
      <c r="K12" s="46" t="n">
        <f aca="false">(J11+K11)/2</f>
        <v>0</v>
      </c>
      <c r="L12" s="46" t="n">
        <f aca="false">(K11+L11)/2</f>
        <v>0</v>
      </c>
    </row>
    <row r="13" customFormat="false" ht="15" hidden="false" customHeight="false" outlineLevel="0" collapsed="false">
      <c r="A13" s="6" t="s">
        <v>362</v>
      </c>
      <c r="C13" s="47" t="n">
        <f aca="false">IF(C6=0,Assumptions!$F$24,IF(C6=1,Assumptions!$F$25,1))</f>
        <v>0.6</v>
      </c>
      <c r="D13" s="47" t="n">
        <f aca="false">IF(D6=0,Assumptions!$F$24,IF(D6=1,Assumptions!$F$25,1))</f>
        <v>0.9</v>
      </c>
      <c r="E13" s="47" t="n">
        <f aca="false">IF(E6=0,Assumptions!$F$24,IF(E6=1,Assumptions!$F$25,1))</f>
        <v>1</v>
      </c>
      <c r="F13" s="47" t="n">
        <f aca="false">IF(F6=0,Assumptions!$F$24,IF(F6=1,Assumptions!$F$25,1))</f>
        <v>1</v>
      </c>
      <c r="G13" s="47" t="n">
        <f aca="false">IF(G6=0,Assumptions!$F$24,IF(G6=1,Assumptions!$F$25,1))</f>
        <v>1</v>
      </c>
      <c r="H13" s="47" t="n">
        <f aca="false">IF(H6=0,Assumptions!$F$24,IF(H6=1,Assumptions!$F$25,1))</f>
        <v>1</v>
      </c>
      <c r="I13" s="47" t="n">
        <f aca="false">IF(I6=0,Assumptions!$F$24,IF(I6=1,Assumptions!$F$25,1))</f>
        <v>1</v>
      </c>
      <c r="J13" s="47" t="n">
        <f aca="false">IF(J6=0,Assumptions!$F$24,IF(J6=1,Assumptions!$F$25,1))</f>
        <v>1</v>
      </c>
      <c r="K13" s="47" t="n">
        <f aca="false">IF(K6=0,Assumptions!$F$24,IF(K6=1,Assumptions!$F$25,1))</f>
        <v>1</v>
      </c>
      <c r="L13" s="47" t="n">
        <f aca="false">IF(L6=0,Assumptions!$F$24,IF(L6=1,Assumptions!$F$25,1))</f>
        <v>1</v>
      </c>
    </row>
    <row r="14" customFormat="false" ht="15" hidden="false" customHeight="false" outlineLevel="0" collapsed="false">
      <c r="A14" s="6" t="s">
        <v>293</v>
      </c>
      <c r="C14" s="21" t="n">
        <f aca="false">C12*Assumptions!$F$22*C13</f>
        <v>180</v>
      </c>
      <c r="D14" s="21" t="n">
        <f aca="false">D12*Assumptions!$F$22*D13</f>
        <v>540</v>
      </c>
      <c r="E14" s="21" t="n">
        <f aca="false">E12*Assumptions!$F$22*E13</f>
        <v>300</v>
      </c>
      <c r="F14" s="21" t="n">
        <f aca="false">F12*Assumptions!$F$22*F13</f>
        <v>0</v>
      </c>
      <c r="G14" s="21" t="n">
        <f aca="false">G12*Assumptions!$F$22*G13</f>
        <v>0</v>
      </c>
      <c r="H14" s="21" t="n">
        <f aca="false">H12*Assumptions!$F$22*H13</f>
        <v>0</v>
      </c>
      <c r="I14" s="21" t="n">
        <f aca="false">I12*Assumptions!$F$22*I13</f>
        <v>0</v>
      </c>
      <c r="J14" s="21" t="n">
        <f aca="false">J12*Assumptions!$F$22*J13</f>
        <v>0</v>
      </c>
      <c r="K14" s="21" t="n">
        <f aca="false">K12*Assumptions!$F$22*K13</f>
        <v>0</v>
      </c>
      <c r="L14" s="21" t="n">
        <f aca="false">L12*Assumptions!$F$22*L13</f>
        <v>0</v>
      </c>
    </row>
    <row r="15" customFormat="false" ht="15" hidden="false" customHeight="false" outlineLevel="0" collapsed="false">
      <c r="A15" s="6" t="s">
        <v>363</v>
      </c>
      <c r="C15" s="21" t="n">
        <f aca="false">C14*(1+Assumptions!$F$30)</f>
        <v>198</v>
      </c>
      <c r="D15" s="21" t="n">
        <f aca="false">D14*(1+Assumptions!$F$30)</f>
        <v>594</v>
      </c>
      <c r="E15" s="21" t="n">
        <f aca="false">E14*(1+Assumptions!$F$30)</f>
        <v>330</v>
      </c>
      <c r="F15" s="21" t="n">
        <f aca="false">F14*(1+Assumptions!$F$30)</f>
        <v>0</v>
      </c>
      <c r="G15" s="21" t="n">
        <f aca="false">G14*(1+Assumptions!$F$30)</f>
        <v>0</v>
      </c>
      <c r="H15" s="21" t="n">
        <f aca="false">H14*(1+Assumptions!$F$30)</f>
        <v>0</v>
      </c>
      <c r="I15" s="21" t="n">
        <f aca="false">I14*(1+Assumptions!$F$30)</f>
        <v>0</v>
      </c>
      <c r="J15" s="21" t="n">
        <f aca="false">J14*(1+Assumptions!$F$30)</f>
        <v>0</v>
      </c>
      <c r="K15" s="21" t="n">
        <f aca="false">K14*(1+Assumptions!$F$30)</f>
        <v>0</v>
      </c>
      <c r="L15" s="21" t="n">
        <f aca="false">L14*(1+Assumptions!$F$30)</f>
        <v>0</v>
      </c>
    </row>
    <row r="16" customFormat="false" ht="15" hidden="false" customHeight="false" outlineLevel="0" collapsed="false">
      <c r="A16" s="6" t="s">
        <v>364</v>
      </c>
      <c r="C16" s="21" t="n">
        <f aca="false">'Fleet Plan'!C19*(1-C7)</f>
        <v>0</v>
      </c>
      <c r="D16" s="21" t="n">
        <f aca="false">'Fleet Plan'!D19*(1-D7)</f>
        <v>0</v>
      </c>
      <c r="E16" s="21" t="n">
        <f aca="false">'Fleet Plan'!E19*(1-E7)</f>
        <v>0</v>
      </c>
      <c r="F16" s="21" t="n">
        <f aca="false">'Fleet Plan'!F19*(1-F7)</f>
        <v>1</v>
      </c>
      <c r="G16" s="21" t="n">
        <f aca="false">'Fleet Plan'!G19*(1-G7)</f>
        <v>3</v>
      </c>
      <c r="H16" s="21" t="n">
        <f aca="false">'Fleet Plan'!H19*(1-H7)</f>
        <v>5</v>
      </c>
      <c r="I16" s="21" t="n">
        <f aca="false">'Fleet Plan'!I19*(1-I7)</f>
        <v>7</v>
      </c>
      <c r="J16" s="21" t="n">
        <f aca="false">'Fleet Plan'!J19*(1-J7)</f>
        <v>9</v>
      </c>
      <c r="K16" s="21" t="n">
        <f aca="false">'Fleet Plan'!K19*(1-K7)</f>
        <v>11</v>
      </c>
      <c r="L16" s="21" t="n">
        <f aca="false">'Fleet Plan'!L19*(1-L7)</f>
        <v>12</v>
      </c>
    </row>
    <row r="17" customFormat="false" ht="15" hidden="false" customHeight="false" outlineLevel="0" collapsed="false">
      <c r="A17" s="6" t="s">
        <v>365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0.5</v>
      </c>
      <c r="G17" s="46" t="n">
        <f aca="false">(F16+G16)/2</f>
        <v>2</v>
      </c>
      <c r="H17" s="46" t="n">
        <f aca="false">(G16+H16)/2</f>
        <v>4</v>
      </c>
      <c r="I17" s="46" t="n">
        <f aca="false">(H16+I16)/2</f>
        <v>6</v>
      </c>
      <c r="J17" s="46" t="n">
        <f aca="false">(I16+J16)/2</f>
        <v>8</v>
      </c>
      <c r="K17" s="46" t="n">
        <f aca="false">(J16+K16)/2</f>
        <v>10</v>
      </c>
      <c r="L17" s="46" t="n">
        <f aca="false">(K16+L16)/2</f>
        <v>11.5</v>
      </c>
    </row>
    <row r="19" customFormat="false" ht="15" hidden="false" customHeight="false" outlineLevel="0" collapsed="false">
      <c r="A19" s="17" t="s">
        <v>366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367</v>
      </c>
      <c r="C20" s="14" t="n">
        <f aca="false">C14*Assumptions!$F$26*Assumptions!$F$27*(1+Assumptions!$F$29)^C6</f>
        <v>1154250</v>
      </c>
      <c r="D20" s="14" t="n">
        <f aca="false">D14*Assumptions!$F$26*Assumptions!$F$27*(1+Assumptions!$F$29)^D6</f>
        <v>3566632.5</v>
      </c>
      <c r="E20" s="14" t="n">
        <f aca="false">E14*Assumptions!$F$26*Assumptions!$F$27*(1+Assumptions!$F$29)^E6</f>
        <v>2040906.375</v>
      </c>
      <c r="F20" s="14" t="n">
        <f aca="false">F14*Assumptions!$F$26*Assumptions!$F$27*(1+Assumptions!$F$29)^F6</f>
        <v>0</v>
      </c>
      <c r="G20" s="14" t="n">
        <f aca="false">G14*Assumptions!$F$26*Assumptions!$F$27*(1+Assumptions!$F$29)^G6</f>
        <v>0</v>
      </c>
      <c r="H20" s="14" t="n">
        <f aca="false">H14*Assumptions!$F$26*Assumptions!$F$27*(1+Assumptions!$F$29)^H6</f>
        <v>0</v>
      </c>
      <c r="I20" s="14" t="n">
        <f aca="false">I14*Assumptions!$F$26*Assumptions!$F$27*(1+Assumptions!$F$29)^I6</f>
        <v>0</v>
      </c>
      <c r="J20" s="14" t="n">
        <f aca="false">J14*Assumptions!$F$26*Assumptions!$F$27*(1+Assumptions!$F$29)^J6</f>
        <v>0</v>
      </c>
      <c r="K20" s="14" t="n">
        <f aca="false">K14*Assumptions!$F$26*Assumptions!$F$27*(1+Assumptions!$F$29)^K6</f>
        <v>0</v>
      </c>
      <c r="L20" s="14" t="n">
        <f aca="false">L14*Assumptions!$F$26*Assumptions!$F$27*(1+Assumptions!$F$29)^L6</f>
        <v>0</v>
      </c>
    </row>
    <row r="21" customFormat="false" ht="15" hidden="false" customHeight="false" outlineLevel="0" collapsed="false">
      <c r="A21" s="6" t="s">
        <v>368</v>
      </c>
      <c r="C21" s="14" t="n">
        <f aca="false">C14*(1-Assumptions!$F$26)*Assumptions!$F$28*(1+Assumptions!$F$29)^C6</f>
        <v>72000.0000000001</v>
      </c>
      <c r="D21" s="14" t="n">
        <f aca="false">D14*(1-Assumptions!$F$26)*Assumptions!$F$28*(1+Assumptions!$F$29)^D6</f>
        <v>222480</v>
      </c>
      <c r="E21" s="14" t="n">
        <f aca="false">E14*(1-Assumptions!$F$26)*Assumptions!$F$28*(1+Assumptions!$F$29)^E6</f>
        <v>127308</v>
      </c>
      <c r="F21" s="14" t="n">
        <f aca="false">F14*(1-Assumptions!$F$26)*Assumptions!$F$28*(1+Assumptions!$F$29)^F6</f>
        <v>0</v>
      </c>
      <c r="G21" s="14" t="n">
        <f aca="false">G14*(1-Assumptions!$F$26)*Assumptions!$F$28*(1+Assumptions!$F$29)^G6</f>
        <v>0</v>
      </c>
      <c r="H21" s="14" t="n">
        <f aca="false">H14*(1-Assumptions!$F$26)*Assumptions!$F$28*(1+Assumptions!$F$29)^H6</f>
        <v>0</v>
      </c>
      <c r="I21" s="14" t="n">
        <f aca="false">I14*(1-Assumptions!$F$26)*Assumptions!$F$28*(1+Assumptions!$F$29)^I6</f>
        <v>0</v>
      </c>
      <c r="J21" s="14" t="n">
        <f aca="false">J14*(1-Assumptions!$F$26)*Assumptions!$F$28*(1+Assumptions!$F$29)^J6</f>
        <v>0</v>
      </c>
      <c r="K21" s="14" t="n">
        <f aca="false">K14*(1-Assumptions!$F$26)*Assumptions!$F$28*(1+Assumptions!$F$29)^K6</f>
        <v>0</v>
      </c>
      <c r="L21" s="14" t="n">
        <f aca="false">L14*(1-Assumptions!$F$26)*Assumptions!$F$28*(1+Assumptions!$F$29)^L6</f>
        <v>0</v>
      </c>
    </row>
    <row r="22" customFormat="false" ht="15" hidden="false" customHeight="false" outlineLevel="0" collapsed="false">
      <c r="A22" s="6" t="s">
        <v>369</v>
      </c>
      <c r="C22" s="14" t="n">
        <f aca="false">C17*Assumptions!$F$61*C8</f>
        <v>0</v>
      </c>
      <c r="D22" s="14" t="n">
        <f aca="false">D17*Assumptions!$F$61*D8</f>
        <v>0</v>
      </c>
      <c r="E22" s="14" t="n">
        <f aca="false">E17*Assumptions!$F$61*E8</f>
        <v>0</v>
      </c>
      <c r="F22" s="14" t="n">
        <f aca="false">F17*Assumptions!$F$61*F8</f>
        <v>109272.7</v>
      </c>
      <c r="G22" s="14" t="n">
        <f aca="false">G17*Assumptions!$F$61*G8</f>
        <v>450203.524</v>
      </c>
      <c r="H22" s="14" t="n">
        <f aca="false">H17*Assumptions!$F$61*H8</f>
        <v>927419.25944</v>
      </c>
      <c r="I22" s="14" t="n">
        <f aca="false">I17*Assumptions!$F$61*I8</f>
        <v>1432862.7558348</v>
      </c>
      <c r="J22" s="14" t="n">
        <f aca="false">J17*Assumptions!$F$61*J8</f>
        <v>1967798.18467979</v>
      </c>
      <c r="K22" s="14" t="n">
        <f aca="false">K17*Assumptions!$F$61*K8</f>
        <v>2533540.16277523</v>
      </c>
      <c r="L22" s="14" t="n">
        <f aca="false">L17*Assumptions!$F$61*L8</f>
        <v>3000978.32280726</v>
      </c>
    </row>
    <row r="23" customFormat="false" ht="15" hidden="false" customHeight="false" outlineLevel="0" collapsed="false">
      <c r="A23" s="11" t="s">
        <v>370</v>
      </c>
      <c r="C23" s="15" t="n">
        <f aca="false">SUM(C20:C22)</f>
        <v>1226250</v>
      </c>
      <c r="D23" s="15" t="n">
        <f aca="false">SUM(D20:D22)</f>
        <v>3789112.5</v>
      </c>
      <c r="E23" s="15" t="n">
        <f aca="false">SUM(E20:E22)</f>
        <v>2168214.375</v>
      </c>
      <c r="F23" s="15" t="n">
        <f aca="false">SUM(F20:F22)</f>
        <v>109272.7</v>
      </c>
      <c r="G23" s="15" t="n">
        <f aca="false">SUM(G20:G22)</f>
        <v>450203.524</v>
      </c>
      <c r="H23" s="15" t="n">
        <f aca="false">SUM(H20:H22)</f>
        <v>927419.25944</v>
      </c>
      <c r="I23" s="15" t="n">
        <f aca="false">SUM(I20:I22)</f>
        <v>1432862.7558348</v>
      </c>
      <c r="J23" s="15" t="n">
        <f aca="false">SUM(J20:J22)</f>
        <v>1967798.18467979</v>
      </c>
      <c r="K23" s="15" t="n">
        <f aca="false">SUM(K20:K22)</f>
        <v>2533540.16277523</v>
      </c>
      <c r="L23" s="15" t="n">
        <f aca="false">SUM(L20:L22)</f>
        <v>3000978.32280726</v>
      </c>
    </row>
    <row r="25" customFormat="false" ht="15" hidden="false" customHeight="false" outlineLevel="0" collapsed="false">
      <c r="A25" s="17" t="s">
        <v>371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372</v>
      </c>
      <c r="C26" s="14" t="n">
        <f aca="false">C15*(Assumptions!$F$32*Assumptions!$F$33+(Assumptions!$F$34+Assumptions!$F$35+Assumptions!$F$36)*(1+Assumptions!$F$37)+Assumptions!$F$38)*C8</f>
        <v>992574</v>
      </c>
      <c r="D26" s="14" t="n">
        <f aca="false">D15*(Assumptions!$F$32*Assumptions!$F$33+(Assumptions!$F$34+Assumptions!$F$35+Assumptions!$F$36)*(1+Assumptions!$F$37)+Assumptions!$F$38)*D8</f>
        <v>3067053.66</v>
      </c>
      <c r="E26" s="14" t="n">
        <f aca="false">E15*(Assumptions!$F$32*Assumptions!$F$33+(Assumptions!$F$34+Assumptions!$F$35+Assumptions!$F$36)*(1+Assumptions!$F$37)+Assumptions!$F$38)*E8</f>
        <v>1755036.261</v>
      </c>
      <c r="F26" s="14" t="n">
        <f aca="false">F15*(Assumptions!$F$32*Assumptions!$F$33+(Assumptions!$F$34+Assumptions!$F$35+Assumptions!$F$36)*(1+Assumptions!$F$37)+Assumptions!$F$38)*F8</f>
        <v>0</v>
      </c>
      <c r="G26" s="14" t="n">
        <f aca="false">G15*(Assumptions!$F$32*Assumptions!$F$33+(Assumptions!$F$34+Assumptions!$F$35+Assumptions!$F$36)*(1+Assumptions!$F$37)+Assumptions!$F$38)*G8</f>
        <v>0</v>
      </c>
      <c r="H26" s="14" t="n">
        <f aca="false">H15*(Assumptions!$F$32*Assumptions!$F$33+(Assumptions!$F$34+Assumptions!$F$35+Assumptions!$F$36)*(1+Assumptions!$F$37)+Assumptions!$F$38)*H8</f>
        <v>0</v>
      </c>
      <c r="I26" s="14" t="n">
        <f aca="false">I15*(Assumptions!$F$32*Assumptions!$F$33+(Assumptions!$F$34+Assumptions!$F$35+Assumptions!$F$36)*(1+Assumptions!$F$37)+Assumptions!$F$38)*I8</f>
        <v>0</v>
      </c>
      <c r="J26" s="14" t="n">
        <f aca="false">J15*(Assumptions!$F$32*Assumptions!$F$33+(Assumptions!$F$34+Assumptions!$F$35+Assumptions!$F$36)*(1+Assumptions!$F$37)+Assumptions!$F$38)*J8</f>
        <v>0</v>
      </c>
      <c r="K26" s="14" t="n">
        <f aca="false">K15*(Assumptions!$F$32*Assumptions!$F$33+(Assumptions!$F$34+Assumptions!$F$35+Assumptions!$F$36)*(1+Assumptions!$F$37)+Assumptions!$F$38)*K8</f>
        <v>0</v>
      </c>
      <c r="L26" s="14" t="n">
        <f aca="false">L15*(Assumptions!$F$32*Assumptions!$F$33+(Assumptions!$F$34+Assumptions!$F$35+Assumptions!$F$36)*(1+Assumptions!$F$37)+Assumptions!$F$38)*L8</f>
        <v>0</v>
      </c>
    </row>
    <row r="27" customFormat="false" ht="15" hidden="false" customHeight="false" outlineLevel="0" collapsed="false">
      <c r="A27" s="6" t="s">
        <v>373</v>
      </c>
      <c r="C27" s="14" t="n">
        <f aca="false">C12*((Assumptions!$F$40*Assumptions!$F$42+Assumptions!$F$41*Assumptions!$F$43)*(1+Assumptions!$F$44)+Assumptions!$F$45)*C8</f>
        <v>342500</v>
      </c>
      <c r="D27" s="14" t="n">
        <f aca="false">D12*((Assumptions!$F$40*Assumptions!$F$42+Assumptions!$F$41*Assumptions!$F$43)*(1+Assumptions!$F$44)+Assumptions!$F$45)*D8</f>
        <v>705550</v>
      </c>
      <c r="E27" s="14" t="n">
        <f aca="false">E12*((Assumptions!$F$40*Assumptions!$F$42+Assumptions!$F$41*Assumptions!$F$43)*(1+Assumptions!$F$44)+Assumptions!$F$45)*E8</f>
        <v>363358.25</v>
      </c>
      <c r="F27" s="14" t="n">
        <f aca="false">F12*((Assumptions!$F$40*Assumptions!$F$42+Assumptions!$F$41*Assumptions!$F$43)*(1+Assumptions!$F$44)+Assumptions!$F$45)*F8</f>
        <v>0</v>
      </c>
      <c r="G27" s="14" t="n">
        <f aca="false">G12*((Assumptions!$F$40*Assumptions!$F$42+Assumptions!$F$41*Assumptions!$F$43)*(1+Assumptions!$F$44)+Assumptions!$F$45)*G8</f>
        <v>0</v>
      </c>
      <c r="H27" s="14" t="n">
        <f aca="false">H12*((Assumptions!$F$40*Assumptions!$F$42+Assumptions!$F$41*Assumptions!$F$43)*(1+Assumptions!$F$44)+Assumptions!$F$45)*H8</f>
        <v>0</v>
      </c>
      <c r="I27" s="14" t="n">
        <f aca="false">I12*((Assumptions!$F$40*Assumptions!$F$42+Assumptions!$F$41*Assumptions!$F$43)*(1+Assumptions!$F$44)+Assumptions!$F$45)*I8</f>
        <v>0</v>
      </c>
      <c r="J27" s="14" t="n">
        <f aca="false">J12*((Assumptions!$F$40*Assumptions!$F$42+Assumptions!$F$41*Assumptions!$F$43)*(1+Assumptions!$F$44)+Assumptions!$F$45)*J8</f>
        <v>0</v>
      </c>
      <c r="K27" s="14" t="n">
        <f aca="false">K12*((Assumptions!$F$40*Assumptions!$F$42+Assumptions!$F$41*Assumptions!$F$43)*(1+Assumptions!$F$44)+Assumptions!$F$45)*K8</f>
        <v>0</v>
      </c>
      <c r="L27" s="14" t="n">
        <f aca="false">L12*((Assumptions!$F$40*Assumptions!$F$42+Assumptions!$F$41*Assumptions!$F$43)*(1+Assumptions!$F$44)+Assumptions!$F$45)*L8</f>
        <v>0</v>
      </c>
    </row>
    <row r="28" customFormat="false" ht="15" hidden="false" customHeight="false" outlineLevel="0" collapsed="false">
      <c r="A28" s="6" t="s">
        <v>304</v>
      </c>
      <c r="C28" s="14" t="n">
        <f aca="false">C12*(Assumptions!$F$40+Assumptions!$F$41)*Assumptions!$F$46*C8</f>
        <v>67500</v>
      </c>
      <c r="D28" s="14" t="n">
        <f aca="false">D12*(Assumptions!$F$40+Assumptions!$F$41)*Assumptions!$F$46*D8</f>
        <v>139050</v>
      </c>
      <c r="E28" s="14" t="n">
        <f aca="false">E12*(Assumptions!$F$40+Assumptions!$F$41)*Assumptions!$F$46*E8</f>
        <v>71610.75</v>
      </c>
      <c r="F28" s="14" t="n">
        <f aca="false">F12*(Assumptions!$F$40+Assumptions!$F$41)*Assumptions!$F$46*F8</f>
        <v>0</v>
      </c>
      <c r="G28" s="14" t="n">
        <f aca="false">G12*(Assumptions!$F$40+Assumptions!$F$41)*Assumptions!$F$46*G8</f>
        <v>0</v>
      </c>
      <c r="H28" s="14" t="n">
        <f aca="false">H12*(Assumptions!$F$40+Assumptions!$F$41)*Assumptions!$F$46*H8</f>
        <v>0</v>
      </c>
      <c r="I28" s="14" t="n">
        <f aca="false">I12*(Assumptions!$F$40+Assumptions!$F$41)*Assumptions!$F$46*I8</f>
        <v>0</v>
      </c>
      <c r="J28" s="14" t="n">
        <f aca="false">J12*(Assumptions!$F$40+Assumptions!$F$41)*Assumptions!$F$46*J8</f>
        <v>0</v>
      </c>
      <c r="K28" s="14" t="n">
        <f aca="false">K12*(Assumptions!$F$40+Assumptions!$F$41)*Assumptions!$F$46*K8</f>
        <v>0</v>
      </c>
      <c r="L28" s="14" t="n">
        <f aca="false">L12*(Assumptions!$F$40+Assumptions!$F$41)*Assumptions!$F$46*L8</f>
        <v>0</v>
      </c>
    </row>
    <row r="29" customFormat="false" ht="15" hidden="false" customHeight="false" outlineLevel="0" collapsed="false">
      <c r="A29" s="6" t="s">
        <v>374</v>
      </c>
      <c r="C29" s="14" t="n">
        <f aca="false">C12*(Assumptions!$F$47+Assumptions!$F$48+Assumptions!$F$51+Assumptions!$F$52)*C8</f>
        <v>190500</v>
      </c>
      <c r="D29" s="14" t="n">
        <f aca="false">D12*(Assumptions!$F$47+Assumptions!$F$48+Assumptions!$F$51+Assumptions!$F$52)*D8</f>
        <v>392430</v>
      </c>
      <c r="E29" s="14" t="n">
        <f aca="false">E12*(Assumptions!$F$47+Assumptions!$F$48+Assumptions!$F$51+Assumptions!$F$52)*E8</f>
        <v>202101.45</v>
      </c>
      <c r="F29" s="14" t="n">
        <f aca="false">F12*(Assumptions!$F$47+Assumptions!$F$48+Assumptions!$F$51+Assumptions!$F$52)*F8</f>
        <v>0</v>
      </c>
      <c r="G29" s="14" t="n">
        <f aca="false">G12*(Assumptions!$F$47+Assumptions!$F$48+Assumptions!$F$51+Assumptions!$F$52)*G8</f>
        <v>0</v>
      </c>
      <c r="H29" s="14" t="n">
        <f aca="false">H12*(Assumptions!$F$47+Assumptions!$F$48+Assumptions!$F$51+Assumptions!$F$52)*H8</f>
        <v>0</v>
      </c>
      <c r="I29" s="14" t="n">
        <f aca="false">I12*(Assumptions!$F$47+Assumptions!$F$48+Assumptions!$F$51+Assumptions!$F$52)*I8</f>
        <v>0</v>
      </c>
      <c r="J29" s="14" t="n">
        <f aca="false">J12*(Assumptions!$F$47+Assumptions!$F$48+Assumptions!$F$51+Assumptions!$F$52)*J8</f>
        <v>0</v>
      </c>
      <c r="K29" s="14" t="n">
        <f aca="false">K12*(Assumptions!$F$47+Assumptions!$F$48+Assumptions!$F$51+Assumptions!$F$52)*K8</f>
        <v>0</v>
      </c>
      <c r="L29" s="14" t="n">
        <f aca="false">L12*(Assumptions!$F$47+Assumptions!$F$48+Assumptions!$F$51+Assumptions!$F$52)*L8</f>
        <v>0</v>
      </c>
    </row>
    <row r="30" customFormat="false" ht="15" hidden="false" customHeight="false" outlineLevel="0" collapsed="false">
      <c r="A30" s="6" t="s">
        <v>375</v>
      </c>
      <c r="C30" s="14" t="n">
        <f aca="false">C7*C12*Assumptions!$F$49*12*C8</f>
        <v>60000</v>
      </c>
      <c r="D30" s="14" t="n">
        <f aca="false">D7*D12*Assumptions!$F$49*12*D8</f>
        <v>123600</v>
      </c>
      <c r="E30" s="14" t="n">
        <f aca="false">E7*E12*Assumptions!$F$49*12*E8</f>
        <v>63654</v>
      </c>
      <c r="F30" s="14" t="n">
        <f aca="false">F7*F12*Assumptions!$F$49*12*F8</f>
        <v>0</v>
      </c>
      <c r="G30" s="14" t="n">
        <f aca="false">G7*G12*Assumptions!$F$49*12*G8</f>
        <v>0</v>
      </c>
      <c r="H30" s="14" t="n">
        <f aca="false">H7*H12*Assumptions!$F$49*12*H8</f>
        <v>0</v>
      </c>
      <c r="I30" s="14" t="n">
        <f aca="false">I7*I12*Assumptions!$F$49*12*I8</f>
        <v>0</v>
      </c>
      <c r="J30" s="14" t="n">
        <f aca="false">J7*J12*Assumptions!$F$49*12*J8</f>
        <v>0</v>
      </c>
      <c r="K30" s="14" t="n">
        <f aca="false">K7*K12*Assumptions!$F$49*12*K8</f>
        <v>0</v>
      </c>
      <c r="L30" s="14" t="n">
        <f aca="false">L7*L12*Assumptions!$F$49*12*L8</f>
        <v>0</v>
      </c>
    </row>
    <row r="31" customFormat="false" ht="15" hidden="false" customHeight="false" outlineLevel="0" collapsed="false">
      <c r="A31" s="6" t="s">
        <v>376</v>
      </c>
      <c r="C31" s="14" t="n">
        <f aca="false">C7*(C20+C21)*Assumptions!$F$50</f>
        <v>122625</v>
      </c>
      <c r="D31" s="14" t="n">
        <f aca="false">D7*(D20+D21)*Assumptions!$F$50</f>
        <v>378911.25</v>
      </c>
      <c r="E31" s="14" t="n">
        <f aca="false">E7*(E20+E21)*Assumptions!$F$50</f>
        <v>216821.4375</v>
      </c>
      <c r="F31" s="14" t="n">
        <f aca="false">F7*(F20+F21)*Assumptions!$F$50</f>
        <v>0</v>
      </c>
      <c r="G31" s="14" t="n">
        <f aca="false">G7*(G20+G21)*Assumptions!$F$50</f>
        <v>0</v>
      </c>
      <c r="H31" s="14" t="n">
        <f aca="false">H7*(H20+H21)*Assumptions!$F$50</f>
        <v>0</v>
      </c>
      <c r="I31" s="14" t="n">
        <f aca="false">I7*(I20+I21)*Assumptions!$F$50</f>
        <v>0</v>
      </c>
      <c r="J31" s="14" t="n">
        <f aca="false">J7*(J20+J21)*Assumptions!$F$50</f>
        <v>0</v>
      </c>
      <c r="K31" s="14" t="n">
        <f aca="false">K7*(K20+K21)*Assumptions!$F$50</f>
        <v>0</v>
      </c>
      <c r="L31" s="14" t="n">
        <f aca="false">L7*(L20+L21)*Assumptions!$F$50</f>
        <v>0</v>
      </c>
    </row>
    <row r="32" customFormat="false" ht="15" hidden="false" customHeight="false" outlineLevel="0" collapsed="false">
      <c r="A32" s="6" t="s">
        <v>377</v>
      </c>
      <c r="C32" s="14" t="n">
        <f aca="false">C7*IF(C12&gt;0,1,0)*Assumptions!$F$53*C8</f>
        <v>100000</v>
      </c>
      <c r="D32" s="14" t="n">
        <f aca="false">D7*IF(D12&gt;0,1,0)*Assumptions!$F$53*D8</f>
        <v>103000</v>
      </c>
      <c r="E32" s="14" t="n">
        <f aca="false">E7*IF(E12&gt;0,1,0)*Assumptions!$F$53*E8</f>
        <v>106090</v>
      </c>
      <c r="F32" s="14" t="n">
        <f aca="false">F7*IF(F12&gt;0,1,0)*Assumptions!$F$53*F8</f>
        <v>0</v>
      </c>
      <c r="G32" s="14" t="n">
        <f aca="false">G7*IF(G12&gt;0,1,0)*Assumptions!$F$53*G8</f>
        <v>0</v>
      </c>
      <c r="H32" s="14" t="n">
        <f aca="false">H7*IF(H12&gt;0,1,0)*Assumptions!$F$53*H8</f>
        <v>0</v>
      </c>
      <c r="I32" s="14" t="n">
        <f aca="false">I7*IF(I12&gt;0,1,0)*Assumptions!$F$53*I8</f>
        <v>0</v>
      </c>
      <c r="J32" s="14" t="n">
        <f aca="false">J7*IF(J12&gt;0,1,0)*Assumptions!$F$53*J8</f>
        <v>0</v>
      </c>
      <c r="K32" s="14" t="n">
        <f aca="false">K7*IF(K12&gt;0,1,0)*Assumptions!$F$53*K8</f>
        <v>0</v>
      </c>
      <c r="L32" s="14" t="n">
        <f aca="false">L7*IF(L12&gt;0,1,0)*Assumptions!$F$53*L8</f>
        <v>0</v>
      </c>
    </row>
    <row r="33" customFormat="false" ht="15" hidden="false" customHeight="false" outlineLevel="0" collapsed="false">
      <c r="A33" s="6" t="s">
        <v>378</v>
      </c>
      <c r="C33" s="14" t="n">
        <f aca="false">(1-C7)*(Assumptions!$F$59+Assumptions!$F$60*(C12+C17))*C8</f>
        <v>0</v>
      </c>
      <c r="D33" s="14" t="n">
        <f aca="false">(1-D7)*(Assumptions!$F$59+Assumptions!$F$60*(D12+D17))*D8</f>
        <v>0</v>
      </c>
      <c r="E33" s="14" t="n">
        <f aca="false">(1-E7)*(Assumptions!$F$59+Assumptions!$F$60*(E12+E17))*E8</f>
        <v>0</v>
      </c>
      <c r="F33" s="14" t="n">
        <f aca="false">(1-F7)*(Assumptions!$F$59+Assumptions!$F$60*(F12+F17))*F8</f>
        <v>956136.125</v>
      </c>
      <c r="G33" s="14" t="n">
        <f aca="false">(1-G7)*(Assumptions!$F$59+Assumptions!$F$60*(G12+G17))*G8</f>
        <v>1069233.3695</v>
      </c>
      <c r="H33" s="14" t="n">
        <f aca="false">(1-H7)*(Assumptions!$F$59+Assumptions!$F$60*(H12+H17))*H8</f>
        <v>1217237.778015</v>
      </c>
      <c r="I33" s="14" t="n">
        <f aca="false">(1-I7)*(Assumptions!$F$59+Assumptions!$F$60*(I12+I17))*I8</f>
        <v>1373160.14100835</v>
      </c>
      <c r="J33" s="14" t="n">
        <f aca="false">(1-J7)*(Assumptions!$F$59+Assumptions!$F$60*(J12+J17))*J8</f>
        <v>1537342.33178109</v>
      </c>
      <c r="K33" s="14" t="n">
        <f aca="false">(1-K7)*(Assumptions!$F$59+Assumptions!$F$60*(K12+K17))*K8</f>
        <v>1710139.60987328</v>
      </c>
      <c r="L33" s="14" t="n">
        <f aca="false">(1-L7)*(Assumptions!$F$59+Assumptions!$F$60*(L12+L17))*L8</f>
        <v>1859301.78695667</v>
      </c>
    </row>
    <row r="34" customFormat="false" ht="15" hidden="false" customHeight="false" outlineLevel="0" collapsed="false">
      <c r="A34" s="11" t="s">
        <v>379</v>
      </c>
      <c r="C34" s="15" t="n">
        <f aca="false">SUM(C26:C33)</f>
        <v>1875699</v>
      </c>
      <c r="D34" s="15" t="n">
        <f aca="false">SUM(D26:D33)</f>
        <v>4909594.91</v>
      </c>
      <c r="E34" s="15" t="n">
        <f aca="false">SUM(E26:E33)</f>
        <v>2778672.1485</v>
      </c>
      <c r="F34" s="15" t="n">
        <f aca="false">SUM(F26:F33)</f>
        <v>956136.125</v>
      </c>
      <c r="G34" s="15" t="n">
        <f aca="false">SUM(G26:G33)</f>
        <v>1069233.3695</v>
      </c>
      <c r="H34" s="15" t="n">
        <f aca="false">SUM(H26:H33)</f>
        <v>1217237.778015</v>
      </c>
      <c r="I34" s="15" t="n">
        <f aca="false">SUM(I26:I33)</f>
        <v>1373160.14100835</v>
      </c>
      <c r="J34" s="15" t="n">
        <f aca="false">SUM(J26:J33)</f>
        <v>1537342.33178109</v>
      </c>
      <c r="K34" s="15" t="n">
        <f aca="false">SUM(K26:K33)</f>
        <v>1710139.60987328</v>
      </c>
      <c r="L34" s="15" t="n">
        <f aca="false">SUM(L26:L33)</f>
        <v>1859301.78695667</v>
      </c>
    </row>
    <row r="36" customFormat="false" ht="15" hidden="false" customHeight="false" outlineLevel="0" collapsed="false">
      <c r="A36" s="11" t="s">
        <v>90</v>
      </c>
      <c r="C36" s="24" t="n">
        <f aca="false">C23-C34</f>
        <v>-649449</v>
      </c>
      <c r="D36" s="24" t="n">
        <f aca="false">D23-D34</f>
        <v>-1120482.41</v>
      </c>
      <c r="E36" s="24" t="n">
        <f aca="false">E23-E34</f>
        <v>-610457.7735</v>
      </c>
      <c r="F36" s="24" t="n">
        <f aca="false">F23-F34</f>
        <v>-846863.425</v>
      </c>
      <c r="G36" s="24" t="n">
        <f aca="false">G23-G34</f>
        <v>-619029.8455</v>
      </c>
      <c r="H36" s="24" t="n">
        <f aca="false">H23-H34</f>
        <v>-289818.518575</v>
      </c>
      <c r="I36" s="24" t="n">
        <f aca="false">I23-I34</f>
        <v>59702.6148264501</v>
      </c>
      <c r="J36" s="24" t="n">
        <f aca="false">J23-J34</f>
        <v>430455.852898705</v>
      </c>
      <c r="K36" s="24" t="n">
        <f aca="false">K23-K34</f>
        <v>823400.552901951</v>
      </c>
      <c r="L36" s="24" t="n">
        <f aca="false">L23-L34</f>
        <v>1141676.53585059</v>
      </c>
    </row>
    <row r="37" customFormat="false" ht="15" hidden="false" customHeight="false" outlineLevel="0" collapsed="false">
      <c r="A37" s="6" t="s">
        <v>312</v>
      </c>
      <c r="C37" s="16" t="n">
        <f aca="false">IF(C23=0,0,C36/C23)</f>
        <v>-0.529622018348624</v>
      </c>
      <c r="D37" s="16" t="n">
        <f aca="false">IF(D23=0,0,D36/D23)</f>
        <v>-0.295711043153245</v>
      </c>
      <c r="E37" s="16" t="n">
        <f aca="false">IF(E23=0,0,E36/E23)</f>
        <v>-0.281548623853211</v>
      </c>
      <c r="F37" s="16" t="n">
        <f aca="false">IF(F23=0,0,F36/F23)</f>
        <v>-7.75</v>
      </c>
      <c r="G37" s="16" t="n">
        <f aca="false">IF(G23=0,0,G36/G23)</f>
        <v>-1.375</v>
      </c>
      <c r="H37" s="16" t="n">
        <f aca="false">IF(H23=0,0,H36/H23)</f>
        <v>-0.3125</v>
      </c>
      <c r="I37" s="16" t="n">
        <f aca="false">IF(I23=0,0,I36/I23)</f>
        <v>0.0416666666666668</v>
      </c>
      <c r="J37" s="16" t="n">
        <f aca="false">IF(J23=0,0,J36/J23)</f>
        <v>0.21875</v>
      </c>
      <c r="K37" s="16" t="n">
        <f aca="false">IF(K23=0,0,K36/K23)</f>
        <v>0.325</v>
      </c>
      <c r="L37" s="16" t="n">
        <f aca="false">IF(L23=0,0,L36/L23)</f>
        <v>0.380434782608696</v>
      </c>
    </row>
    <row r="38" customFormat="false" ht="15" hidden="false" customHeight="false" outlineLevel="0" collapsed="false">
      <c r="A38" s="6" t="s">
        <v>380</v>
      </c>
      <c r="C38" s="14" t="n">
        <f aca="false">IF(AND(C5='Fleet Plan'!$B$18+Assumptions!$F$57-1,OR('Unit Economics'!$F$41=1,SUM('Fleet Plan'!$C$19:$L$19)&gt;0)),Assumptions!$F$58,0)</f>
        <v>0</v>
      </c>
      <c r="D38" s="14" t="n">
        <f aca="false">IF(AND(D5='Fleet Plan'!$B$18+Assumptions!$F$57-1,OR('Unit Economics'!$F$41=1,SUM('Fleet Plan'!$C$19:$L$19)&gt;0)),Assumptions!$F$58,0)</f>
        <v>0</v>
      </c>
      <c r="E38" s="14" t="n">
        <f aca="false">IF(AND(E5='Fleet Plan'!$B$18+Assumptions!$F$57-1,OR('Unit Economics'!$F$41=1,SUM('Fleet Plan'!$C$19:$L$19)&gt;0)),Assumptions!$F$58,0)</f>
        <v>350000</v>
      </c>
      <c r="F38" s="14" t="n">
        <f aca="false">IF(AND(F5='Fleet Plan'!$B$18+Assumptions!$F$57-1,OR('Unit Economics'!$F$41=1,SUM('Fleet Plan'!$C$19:$L$19)&gt;0)),Assumptions!$F$58,0)</f>
        <v>0</v>
      </c>
      <c r="G38" s="14" t="n">
        <f aca="false">IF(AND(G5='Fleet Plan'!$B$18+Assumptions!$F$57-1,OR('Unit Economics'!$F$41=1,SUM('Fleet Plan'!$C$19:$L$19)&gt;0)),Assumptions!$F$58,0)</f>
        <v>0</v>
      </c>
      <c r="H38" s="14" t="n">
        <f aca="false">IF(AND(H5='Fleet Plan'!$B$18+Assumptions!$F$57-1,OR('Unit Economics'!$F$41=1,SUM('Fleet Plan'!$C$19:$L$19)&gt;0)),Assumptions!$F$58,0)</f>
        <v>0</v>
      </c>
      <c r="I38" s="14" t="n">
        <f aca="false">IF(AND(I5='Fleet Plan'!$B$18+Assumptions!$F$57-1,OR('Unit Economics'!$F$41=1,SUM('Fleet Plan'!$C$19:$L$19)&gt;0)),Assumptions!$F$58,0)</f>
        <v>0</v>
      </c>
      <c r="J38" s="14" t="n">
        <f aca="false">IF(AND(J5='Fleet Plan'!$B$18+Assumptions!$F$57-1,OR('Unit Economics'!$F$41=1,SUM('Fleet Plan'!$C$19:$L$19)&gt;0)),Assumptions!$F$58,0)</f>
        <v>0</v>
      </c>
      <c r="K38" s="14" t="n">
        <f aca="false">IF(AND(K5='Fleet Plan'!$B$18+Assumptions!$F$57-1,OR('Unit Economics'!$F$41=1,SUM('Fleet Plan'!$C$19:$L$19)&gt;0)),Assumptions!$F$58,0)</f>
        <v>0</v>
      </c>
      <c r="L38" s="14" t="n">
        <f aca="false">IF(AND(L5='Fleet Plan'!$B$18+Assumptions!$F$57-1,OR('Unit Economics'!$F$41=1,SUM('Fleet Plan'!$C$19:$L$19)&gt;0)),Assumptions!$F$58,0)</f>
        <v>0</v>
      </c>
    </row>
    <row r="39" customFormat="false" ht="15" hidden="false" customHeight="false" outlineLevel="0" collapsed="false">
      <c r="A39" s="6" t="s">
        <v>334</v>
      </c>
      <c r="C39" s="14" t="n">
        <f aca="false">'Debt Hybrid'!C106</f>
        <v>667000</v>
      </c>
      <c r="D39" s="14" t="n">
        <f aca="false">'Debt Hybrid'!D106</f>
        <v>640963.887871814</v>
      </c>
      <c r="E39" s="14" t="n">
        <f aca="false">'Debt Hybrid'!E106</f>
        <v>613040.157614334</v>
      </c>
      <c r="F39" s="14" t="n">
        <f aca="false">'Debt Hybrid'!F106</f>
        <v>0</v>
      </c>
      <c r="G39" s="14" t="n">
        <f aca="false">'Debt Hybrid'!G106</f>
        <v>0</v>
      </c>
      <c r="H39" s="14" t="n">
        <f aca="false">'Debt Hybrid'!H106</f>
        <v>0</v>
      </c>
      <c r="I39" s="14" t="n">
        <f aca="false">'Debt Hybrid'!I106</f>
        <v>0</v>
      </c>
      <c r="J39" s="14" t="n">
        <f aca="false">'Debt Hybrid'!J106</f>
        <v>0</v>
      </c>
      <c r="K39" s="14" t="n">
        <f aca="false">'Debt Hybrid'!K106</f>
        <v>0</v>
      </c>
      <c r="L39" s="14" t="n">
        <f aca="false">'Debt Hybrid'!L106</f>
        <v>0</v>
      </c>
    </row>
    <row r="40" customFormat="false" ht="15" hidden="false" customHeight="false" outlineLevel="0" collapsed="false">
      <c r="A40" s="6" t="s">
        <v>381</v>
      </c>
      <c r="C40" s="14" t="n">
        <f aca="false">'Debt Hybrid'!C107</f>
        <v>359118.787974984</v>
      </c>
      <c r="D40" s="14" t="n">
        <f aca="false">'Debt Hybrid'!D107</f>
        <v>385154.90010317</v>
      </c>
      <c r="E40" s="14" t="n">
        <f aca="false">'Debt Hybrid'!E107</f>
        <v>413078.63036065</v>
      </c>
      <c r="F40" s="14" t="n">
        <f aca="false">'Debt Hybrid'!F107</f>
        <v>0</v>
      </c>
      <c r="G40" s="14" t="n">
        <f aca="false">'Debt Hybrid'!G107</f>
        <v>0</v>
      </c>
      <c r="H40" s="14" t="n">
        <f aca="false">'Debt Hybrid'!H107</f>
        <v>0</v>
      </c>
      <c r="I40" s="14" t="n">
        <f aca="false">'Debt Hybrid'!I107</f>
        <v>0</v>
      </c>
      <c r="J40" s="14" t="n">
        <f aca="false">'Debt Hybrid'!J107</f>
        <v>0</v>
      </c>
      <c r="K40" s="14" t="n">
        <f aca="false">'Debt Hybrid'!K107</f>
        <v>0</v>
      </c>
      <c r="L40" s="14" t="n">
        <f aca="false">'Debt Hybrid'!L107</f>
        <v>0</v>
      </c>
    </row>
    <row r="41" customFormat="false" ht="15" hidden="false" customHeight="false" outlineLevel="0" collapsed="false">
      <c r="A41" s="6" t="s">
        <v>382</v>
      </c>
      <c r="C41" s="14" t="n">
        <f aca="false">'Debt Hybrid'!C111</f>
        <v>0</v>
      </c>
      <c r="D41" s="14" t="n">
        <f aca="false">'Debt Hybrid'!D111</f>
        <v>0</v>
      </c>
      <c r="E41" s="14" t="n">
        <f aca="false">'Debt Hybrid'!E111</f>
        <v>9654805.96421746</v>
      </c>
      <c r="F41" s="14" t="n">
        <f aca="false">'Debt Hybrid'!F111</f>
        <v>0</v>
      </c>
      <c r="G41" s="14" t="n">
        <f aca="false">'Debt Hybrid'!G111</f>
        <v>0</v>
      </c>
      <c r="H41" s="14" t="n">
        <f aca="false">'Debt Hybrid'!H111</f>
        <v>0</v>
      </c>
      <c r="I41" s="14" t="n">
        <f aca="false">'Debt Hybrid'!I111</f>
        <v>0</v>
      </c>
      <c r="J41" s="14" t="n">
        <f aca="false">'Debt Hybrid'!J111</f>
        <v>0</v>
      </c>
      <c r="K41" s="14" t="n">
        <f aca="false">'Debt Hybrid'!K111</f>
        <v>0</v>
      </c>
      <c r="L41" s="14" t="n">
        <f aca="false">'Debt Hybrid'!L111</f>
        <v>0</v>
      </c>
    </row>
    <row r="42" customFormat="false" ht="15" hidden="false" customHeight="false" outlineLevel="0" collapsed="false">
      <c r="A42" s="6" t="s">
        <v>337</v>
      </c>
      <c r="C42" s="14" t="n">
        <f aca="false">'Debt Hybrid'!C110</f>
        <v>0</v>
      </c>
      <c r="D42" s="14" t="n">
        <f aca="false">'Debt Hybrid'!D110</f>
        <v>0</v>
      </c>
      <c r="E42" s="14" t="n">
        <f aca="false">'Debt Hybrid'!E110</f>
        <v>8042647.6815612</v>
      </c>
      <c r="F42" s="14" t="n">
        <f aca="false">'Debt Hybrid'!F110</f>
        <v>0</v>
      </c>
      <c r="G42" s="14" t="n">
        <f aca="false">'Debt Hybrid'!G110</f>
        <v>0</v>
      </c>
      <c r="H42" s="14" t="n">
        <f aca="false">'Debt Hybrid'!H110</f>
        <v>0</v>
      </c>
      <c r="I42" s="14" t="n">
        <f aca="false">'Debt Hybrid'!I110</f>
        <v>0</v>
      </c>
      <c r="J42" s="14" t="n">
        <f aca="false">'Debt Hybrid'!J110</f>
        <v>0</v>
      </c>
      <c r="K42" s="14" t="n">
        <f aca="false">'Debt Hybrid'!K110</f>
        <v>0</v>
      </c>
      <c r="L42" s="14" t="n">
        <f aca="false">'Debt Hybrid'!L110</f>
        <v>0</v>
      </c>
    </row>
    <row r="43" customFormat="false" ht="15" hidden="false" customHeight="false" outlineLevel="0" collapsed="false">
      <c r="A43" s="11" t="s">
        <v>383</v>
      </c>
      <c r="C43" s="15" t="n">
        <f aca="false">C36-C38-C39-C40+C41-C42</f>
        <v>-1675567.78797498</v>
      </c>
      <c r="D43" s="15" t="n">
        <f aca="false">D36-D38-D39-D40+D41-D42</f>
        <v>-2146601.19797498</v>
      </c>
      <c r="E43" s="15" t="n">
        <f aca="false">E36-E38-E39-E40+E41-E42</f>
        <v>-374418.278818724</v>
      </c>
      <c r="F43" s="15" t="n">
        <f aca="false">F36-F38-F39-F40+F41-F42</f>
        <v>-846863.425</v>
      </c>
      <c r="G43" s="15" t="n">
        <f aca="false">G36-G38-G39-G40+G41-G42</f>
        <v>-619029.8455</v>
      </c>
      <c r="H43" s="15" t="n">
        <f aca="false">H36-H38-H39-H40+H41-H42</f>
        <v>-289818.518575</v>
      </c>
      <c r="I43" s="15" t="n">
        <f aca="false">I36-I38-I39-I40+I41-I42</f>
        <v>59702.6148264501</v>
      </c>
      <c r="J43" s="15" t="n">
        <f aca="false">J36-J38-J39-J40+J41-J42</f>
        <v>430455.852898705</v>
      </c>
      <c r="K43" s="15" t="n">
        <f aca="false">K36-K38-K39-K40+K41-K42</f>
        <v>823400.552901951</v>
      </c>
      <c r="L43" s="15" t="n">
        <f aca="false">L36-L38-L39-L40+L41-L42</f>
        <v>1141676.53585059</v>
      </c>
    </row>
    <row r="45" customFormat="false" ht="15" hidden="false" customHeight="false" outlineLevel="0" collapsed="false">
      <c r="A45" s="17" t="s">
        <v>384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385</v>
      </c>
      <c r="C46" s="40" t="n">
        <f aca="false">C11</f>
        <v>1</v>
      </c>
      <c r="D46" s="40" t="n">
        <f aca="false">D11-C11</f>
        <v>0</v>
      </c>
      <c r="E46" s="40" t="n">
        <f aca="false">E11-D11</f>
        <v>-1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386</v>
      </c>
      <c r="C47" s="14" t="n">
        <f aca="false">Assumptions!$F$7*(1+Assumptions!$F$8)^C6</f>
        <v>11500000</v>
      </c>
      <c r="D47" s="14" t="n">
        <f aca="false">Assumptions!$F$7*(1+Assumptions!$F$8)^D6</f>
        <v>11500000</v>
      </c>
      <c r="E47" s="14" t="n">
        <f aca="false">Assumptions!$F$7*(1+Assumptions!$F$8)^E6</f>
        <v>11500000</v>
      </c>
      <c r="F47" s="14" t="n">
        <f aca="false">Assumptions!$F$7*(1+Assumptions!$F$8)^F6</f>
        <v>11500000</v>
      </c>
      <c r="G47" s="14" t="n">
        <f aca="false">Assumptions!$F$7*(1+Assumptions!$F$8)^G6</f>
        <v>11500000</v>
      </c>
      <c r="H47" s="14" t="n">
        <f aca="false">Assumptions!$F$7*(1+Assumptions!$F$8)^H6</f>
        <v>11500000</v>
      </c>
      <c r="I47" s="14" t="n">
        <f aca="false">Assumptions!$F$7*(1+Assumptions!$F$8)^I6</f>
        <v>11500000</v>
      </c>
      <c r="J47" s="14" t="n">
        <f aca="false">Assumptions!$F$7*(1+Assumptions!$F$8)^J6</f>
        <v>11500000</v>
      </c>
      <c r="K47" s="14" t="n">
        <f aca="false">Assumptions!$F$7*(1+Assumptions!$F$8)^K6</f>
        <v>11500000</v>
      </c>
      <c r="L47" s="14" t="n">
        <f aca="false">Assumptions!$F$7*(1+Assumptions!$F$8)^L6</f>
        <v>11500000</v>
      </c>
    </row>
    <row r="48" customFormat="false" ht="15" hidden="false" customHeight="false" outlineLevel="0" collapsed="false">
      <c r="A48" s="6" t="s">
        <v>387</v>
      </c>
      <c r="C48" s="37" t="n">
        <f aca="false">C46*C47</f>
        <v>11500000</v>
      </c>
      <c r="D48" s="37" t="n">
        <f aca="false">D46*D47</f>
        <v>0</v>
      </c>
      <c r="E48" s="37" t="n">
        <f aca="false">E46*E47</f>
        <v>-11500000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388</v>
      </c>
      <c r="C49" s="14" t="n">
        <f aca="false">-C48*Assumptions!$F$18</f>
        <v>-9200000</v>
      </c>
      <c r="D49" s="14" t="n">
        <f aca="false">-D48*Assumptions!$F$18</f>
        <v>-0</v>
      </c>
      <c r="E49" s="14" t="n">
        <f aca="false">-E48*Assumptions!$F$18</f>
        <v>9200000</v>
      </c>
      <c r="F49" s="14" t="n">
        <f aca="false">-F48*Assumptions!$F$18</f>
        <v>-0</v>
      </c>
      <c r="G49" s="14" t="n">
        <f aca="false">-G48*Assumptions!$F$18</f>
        <v>-0</v>
      </c>
      <c r="H49" s="14" t="n">
        <f aca="false">-H48*Assumptions!$F$18</f>
        <v>-0</v>
      </c>
      <c r="I49" s="14" t="n">
        <f aca="false">-I48*Assumptions!$F$18</f>
        <v>-0</v>
      </c>
      <c r="J49" s="14" t="n">
        <f aca="false">-J48*Assumptions!$F$18</f>
        <v>-0</v>
      </c>
      <c r="K49" s="14" t="n">
        <f aca="false">-K48*Assumptions!$F$18</f>
        <v>-0</v>
      </c>
      <c r="L49" s="14" t="n">
        <f aca="false">-L48*Assumptions!$F$18</f>
        <v>-0</v>
      </c>
    </row>
    <row r="50" customFormat="false" ht="15" hidden="false" customHeight="false" outlineLevel="0" collapsed="false">
      <c r="A50" s="6" t="s">
        <v>389</v>
      </c>
      <c r="C50" s="14" t="n">
        <f aca="false">C46*(Assumptions!$F$9+Assumptions!$F$10+Assumptions!$F$11+Assumptions!$F$12+Assumptions!$F$13+Assumptions!$F$14)*C8</f>
        <v>950000</v>
      </c>
      <c r="D50" s="14" t="n">
        <f aca="false">D46*(Assumptions!$F$9+Assumptions!$F$10+Assumptions!$F$11+Assumptions!$F$12+Assumptions!$F$13+Assumptions!$F$14)*D8</f>
        <v>0</v>
      </c>
      <c r="E50" s="14" t="n">
        <f aca="false">E46*(Assumptions!$F$9+Assumptions!$F$10+Assumptions!$F$11+Assumptions!$F$12+Assumptions!$F$13+Assumptions!$F$14)*E8</f>
        <v>-1007855</v>
      </c>
      <c r="F50" s="14" t="n">
        <f aca="false">F46*(Assumptions!$F$9+Assumptions!$F$10+Assumptions!$F$11+Assumptions!$F$12+Assumptions!$F$13+Assumptions!$F$14)*F8</f>
        <v>0</v>
      </c>
      <c r="G50" s="14" t="n">
        <f aca="false">G46*(Assumptions!$F$9+Assumptions!$F$10+Assumptions!$F$11+Assumptions!$F$12+Assumptions!$F$13+Assumptions!$F$14)*G8</f>
        <v>0</v>
      </c>
      <c r="H50" s="14" t="n">
        <f aca="false">H46*(Assumptions!$F$9+Assumptions!$F$10+Assumptions!$F$11+Assumptions!$F$12+Assumptions!$F$13+Assumptions!$F$14)*H8</f>
        <v>0</v>
      </c>
      <c r="I50" s="14" t="n">
        <f aca="false">I46*(Assumptions!$F$9+Assumptions!$F$10+Assumptions!$F$11+Assumptions!$F$12+Assumptions!$F$13+Assumptions!$F$14)*I8</f>
        <v>0</v>
      </c>
      <c r="J50" s="14" t="n">
        <f aca="false">J46*(Assumptions!$F$9+Assumptions!$F$10+Assumptions!$F$11+Assumptions!$F$12+Assumptions!$F$13+Assumptions!$F$14)*J8</f>
        <v>0</v>
      </c>
      <c r="K50" s="14" t="n">
        <f aca="false">K46*(Assumptions!$F$9+Assumptions!$F$10+Assumptions!$F$11+Assumptions!$F$12+Assumptions!$F$13+Assumptions!$F$14)*K8</f>
        <v>0</v>
      </c>
      <c r="L50" s="14" t="n">
        <f aca="false">L46*(Assumptions!$F$9+Assumptions!$F$10+Assumptions!$F$11+Assumptions!$F$12+Assumptions!$F$13+Assumptions!$F$14)*L8</f>
        <v>0</v>
      </c>
    </row>
    <row r="51" customFormat="false" ht="15" hidden="false" customHeight="false" outlineLevel="0" collapsed="false">
      <c r="A51" s="6" t="s">
        <v>69</v>
      </c>
      <c r="C51" s="14" t="n">
        <f aca="false">C48*Assumptions!$F$69</f>
        <v>115000</v>
      </c>
      <c r="D51" s="14" t="n">
        <f aca="false">D48*Assumptions!$F$69</f>
        <v>0</v>
      </c>
      <c r="E51" s="14" t="n">
        <f aca="false">E48*Assumptions!$F$69</f>
        <v>-115000</v>
      </c>
      <c r="F51" s="14" t="n">
        <f aca="false">F48*Assumptions!$F$69</f>
        <v>0</v>
      </c>
      <c r="G51" s="14" t="n">
        <f aca="false">G48*Assumptions!$F$69</f>
        <v>0</v>
      </c>
      <c r="H51" s="14" t="n">
        <f aca="false">H48*Assumptions!$F$69</f>
        <v>0</v>
      </c>
      <c r="I51" s="14" t="n">
        <f aca="false">I48*Assumptions!$F$69</f>
        <v>0</v>
      </c>
      <c r="J51" s="14" t="n">
        <f aca="false">J48*Assumptions!$F$69</f>
        <v>0</v>
      </c>
      <c r="K51" s="14" t="n">
        <f aca="false">K48*Assumptions!$F$69</f>
        <v>0</v>
      </c>
      <c r="L51" s="14" t="n">
        <f aca="false">L48*Assumptions!$F$69</f>
        <v>0</v>
      </c>
    </row>
    <row r="52" customFormat="false" ht="15" hidden="false" customHeight="false" outlineLevel="0" collapsed="false">
      <c r="A52" s="6" t="s">
        <v>390</v>
      </c>
      <c r="C52" s="14" t="n">
        <f aca="false">Assumptions!$F$15+Assumptions!$F$16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391</v>
      </c>
      <c r="C53" s="15" t="n">
        <f aca="false">SUM(C48:C52)</f>
        <v>3490000</v>
      </c>
      <c r="D53" s="15" t="n">
        <f aca="false">SUM(D48:D52)</f>
        <v>0</v>
      </c>
      <c r="E53" s="15" t="n">
        <f aca="false">SUM(E48:E52)</f>
        <v>-3422855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392</v>
      </c>
      <c r="C55" s="37" t="n">
        <f aca="false">0</f>
        <v>0</v>
      </c>
      <c r="D55" s="37" t="n">
        <f aca="false">C58</f>
        <v>710500</v>
      </c>
      <c r="E55" s="37" t="n">
        <f aca="false">D58</f>
        <v>731815</v>
      </c>
      <c r="F55" s="37" t="n">
        <f aca="false">E58</f>
        <v>3780251.72118128</v>
      </c>
      <c r="G55" s="37" t="n">
        <f aca="false">F58</f>
        <v>2933388.29618128</v>
      </c>
      <c r="H55" s="37" t="n">
        <f aca="false">G58</f>
        <v>2314358.45068128</v>
      </c>
      <c r="I55" s="37" t="n">
        <f aca="false">H58</f>
        <v>2024539.93210628</v>
      </c>
      <c r="J55" s="37" t="n">
        <f aca="false">I58</f>
        <v>2084242.54693273</v>
      </c>
      <c r="K55" s="37" t="n">
        <f aca="false">J58</f>
        <v>2514698.39983143</v>
      </c>
      <c r="L55" s="37" t="n">
        <f aca="false">K58</f>
        <v>3338098.95273338</v>
      </c>
    </row>
    <row r="56" customFormat="false" ht="15" hidden="false" customHeight="false" outlineLevel="0" collapsed="false">
      <c r="A56" s="6" t="s">
        <v>393</v>
      </c>
      <c r="C56" s="14" t="n">
        <f aca="false">C11*'Unit Economics'!$F$40*C8</f>
        <v>710500</v>
      </c>
      <c r="D56" s="14" t="n">
        <f aca="false">D11*'Unit Economics'!$F$40*D8</f>
        <v>731815</v>
      </c>
      <c r="E56" s="14" t="n">
        <f aca="false">E11*'Unit Economics'!$F$40*E8</f>
        <v>0</v>
      </c>
      <c r="F56" s="14" t="n">
        <f aca="false">F11*'Unit Economics'!$F$40*F8</f>
        <v>0</v>
      </c>
      <c r="G56" s="14" t="n">
        <f aca="false">G11*'Unit Economics'!$F$40*G8</f>
        <v>0</v>
      </c>
      <c r="H56" s="14" t="n">
        <f aca="false">H11*'Unit Economics'!$F$40*H8</f>
        <v>0</v>
      </c>
      <c r="I56" s="14" t="n">
        <f aca="false">I11*'Unit Economics'!$F$40*I8</f>
        <v>0</v>
      </c>
      <c r="J56" s="14" t="n">
        <f aca="false">J11*'Unit Economics'!$F$40*J8</f>
        <v>0</v>
      </c>
      <c r="K56" s="14" t="n">
        <f aca="false">K11*'Unit Economics'!$F$40*K8</f>
        <v>0</v>
      </c>
      <c r="L56" s="14" t="n">
        <f aca="false">L11*'Unit Economics'!$F$40*L8</f>
        <v>0</v>
      </c>
    </row>
    <row r="57" customFormat="false" ht="15" hidden="false" customHeight="false" outlineLevel="0" collapsed="false">
      <c r="A57" s="11" t="s">
        <v>394</v>
      </c>
      <c r="C57" s="24" t="n">
        <f aca="false">MAX(0,C56-(C55+C43-C53))</f>
        <v>5876067.78797498</v>
      </c>
      <c r="D57" s="24" t="n">
        <f aca="false">MAX(0,D56-(D55+D43-D53))</f>
        <v>2167916.19797498</v>
      </c>
      <c r="E57" s="24" t="n">
        <f aca="false">MAX(0,E56-(E55+E43-E53))</f>
        <v>0</v>
      </c>
      <c r="F57" s="24" t="n">
        <f aca="false">MAX(0,F56-(F55+F43-F53))</f>
        <v>0</v>
      </c>
      <c r="G57" s="24" t="n">
        <f aca="false">MAX(0,G56-(G55+G43-G53))</f>
        <v>0</v>
      </c>
      <c r="H57" s="24" t="n">
        <f aca="false">MAX(0,H56-(H55+H43-H53))</f>
        <v>0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395</v>
      </c>
      <c r="C58" s="15" t="n">
        <f aca="false">C55+C43-C53+C57</f>
        <v>710500</v>
      </c>
      <c r="D58" s="15" t="n">
        <f aca="false">D55+D43-D53+D57</f>
        <v>731815</v>
      </c>
      <c r="E58" s="15" t="n">
        <f aca="false">E55+E43-E53+E57</f>
        <v>3780251.72118128</v>
      </c>
      <c r="F58" s="15" t="n">
        <f aca="false">F55+F43-F53+F57</f>
        <v>2933388.29618128</v>
      </c>
      <c r="G58" s="15" t="n">
        <f aca="false">G55+G43-G53+G57</f>
        <v>2314358.45068128</v>
      </c>
      <c r="H58" s="15" t="n">
        <f aca="false">H55+H43-H53+H57</f>
        <v>2024539.93210628</v>
      </c>
      <c r="I58" s="15" t="n">
        <f aca="false">I55+I43-I53+I57</f>
        <v>2084242.54693273</v>
      </c>
      <c r="J58" s="15" t="n">
        <f aca="false">J55+J43-J53+J57</f>
        <v>2514698.39983143</v>
      </c>
      <c r="K58" s="15" t="n">
        <f aca="false">K55+K43-K53+K57</f>
        <v>3338098.95273338</v>
      </c>
      <c r="L58" s="15" t="n">
        <f aca="false">L55+L43-L53+L57</f>
        <v>4479775.48858397</v>
      </c>
    </row>
    <row r="59" customFormat="false" ht="15" hidden="false" customHeight="false" outlineLevel="0" collapsed="false">
      <c r="A59" s="11" t="s">
        <v>396</v>
      </c>
      <c r="C59" s="24" t="n">
        <f aca="false">C57</f>
        <v>5876067.78797498</v>
      </c>
      <c r="D59" s="24" t="n">
        <f aca="false">C59+D57</f>
        <v>8043983.98594997</v>
      </c>
      <c r="E59" s="24" t="n">
        <f aca="false">D59+E57</f>
        <v>8043983.98594997</v>
      </c>
      <c r="F59" s="24" t="n">
        <f aca="false">E59+F57</f>
        <v>8043983.98594997</v>
      </c>
      <c r="G59" s="24" t="n">
        <f aca="false">F59+G57</f>
        <v>8043983.98594997</v>
      </c>
      <c r="H59" s="24" t="n">
        <f aca="false">G59+H57</f>
        <v>8043983.98594997</v>
      </c>
      <c r="I59" s="24" t="n">
        <f aca="false">H59+I57</f>
        <v>8043983.98594997</v>
      </c>
      <c r="J59" s="24" t="n">
        <f aca="false">I59+J57</f>
        <v>8043983.98594997</v>
      </c>
      <c r="K59" s="24" t="n">
        <f aca="false">J59+K57</f>
        <v>8043983.98594997</v>
      </c>
      <c r="L59" s="24" t="n">
        <f aca="false">K59+L57</f>
        <v>8043983.98594997</v>
      </c>
    </row>
    <row r="61" customFormat="false" ht="15" hidden="false" customHeight="false" outlineLevel="0" collapsed="false">
      <c r="A61" s="17" t="s">
        <v>397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398</v>
      </c>
      <c r="C62" s="14" t="n">
        <f aca="false">'Debt Hybrid'!C109</f>
        <v>10810000</v>
      </c>
      <c r="D62" s="14" t="n">
        <f aca="false">'Debt Hybrid'!D109</f>
        <v>10161400</v>
      </c>
      <c r="E62" s="14" t="n">
        <f aca="false">'Debt Hybrid'!E109</f>
        <v>0</v>
      </c>
      <c r="F62" s="14" t="n">
        <f aca="false">'Debt Hybrid'!F109</f>
        <v>0</v>
      </c>
      <c r="G62" s="14" t="n">
        <f aca="false">'Debt Hybrid'!G109</f>
        <v>0</v>
      </c>
      <c r="H62" s="14" t="n">
        <f aca="false">'Debt Hybrid'!H109</f>
        <v>0</v>
      </c>
      <c r="I62" s="14" t="n">
        <f aca="false">'Debt Hybrid'!I109</f>
        <v>0</v>
      </c>
      <c r="J62" s="14" t="n">
        <f aca="false">'Debt Hybrid'!J109</f>
        <v>0</v>
      </c>
      <c r="K62" s="14" t="n">
        <f aca="false">'Debt Hybrid'!K109</f>
        <v>0</v>
      </c>
      <c r="L62" s="14" t="n">
        <f aca="false">'Debt Hybrid'!L109</f>
        <v>0</v>
      </c>
    </row>
    <row r="63" customFormat="false" ht="15" hidden="false" customHeight="false" outlineLevel="0" collapsed="false">
      <c r="A63" s="6" t="s">
        <v>399</v>
      </c>
      <c r="C63" s="14" t="n">
        <f aca="false">'Debt Hybrid'!C108</f>
        <v>8840881.21202502</v>
      </c>
      <c r="D63" s="14" t="n">
        <f aca="false">'Debt Hybrid'!D108</f>
        <v>8455726.31192185</v>
      </c>
      <c r="E63" s="14" t="n">
        <f aca="false">'Debt Hybrid'!E108</f>
        <v>0</v>
      </c>
      <c r="F63" s="14" t="n">
        <f aca="false">'Debt Hybrid'!F108</f>
        <v>0</v>
      </c>
      <c r="G63" s="14" t="n">
        <f aca="false">'Debt Hybrid'!G108</f>
        <v>0</v>
      </c>
      <c r="H63" s="14" t="n">
        <f aca="false">'Debt Hybrid'!H108</f>
        <v>0</v>
      </c>
      <c r="I63" s="14" t="n">
        <f aca="false">'Debt Hybrid'!I108</f>
        <v>0</v>
      </c>
      <c r="J63" s="14" t="n">
        <f aca="false">'Debt Hybrid'!J108</f>
        <v>0</v>
      </c>
      <c r="K63" s="14" t="n">
        <f aca="false">'Debt Hybrid'!K108</f>
        <v>0</v>
      </c>
      <c r="L63" s="14" t="n">
        <f aca="false">'Debt Hybrid'!L108</f>
        <v>0</v>
      </c>
    </row>
    <row r="64" customFormat="false" ht="15" hidden="false" customHeight="false" outlineLevel="0" collapsed="false">
      <c r="A64" s="11" t="s">
        <v>400</v>
      </c>
      <c r="C64" s="15" t="n">
        <f aca="false">C62+C58-C63</f>
        <v>2679618.78797498</v>
      </c>
      <c r="D64" s="15" t="n">
        <f aca="false">D62+D58-D63</f>
        <v>2437488.68807815</v>
      </c>
      <c r="E64" s="15" t="n">
        <f aca="false">E62+E58-E63</f>
        <v>3780251.72118128</v>
      </c>
      <c r="F64" s="15" t="n">
        <f aca="false">F62+F58-F63</f>
        <v>2933388.29618128</v>
      </c>
      <c r="G64" s="15" t="n">
        <f aca="false">G62+G58-G63</f>
        <v>2314358.45068128</v>
      </c>
      <c r="H64" s="15" t="n">
        <f aca="false">H62+H58-H63</f>
        <v>2024539.93210628</v>
      </c>
      <c r="I64" s="15" t="n">
        <f aca="false">I62+I58-I63</f>
        <v>2084242.54693273</v>
      </c>
      <c r="J64" s="15" t="n">
        <f aca="false">J62+J58-J63</f>
        <v>2514698.39983143</v>
      </c>
      <c r="K64" s="15" t="n">
        <f aca="false">K62+K58-K63</f>
        <v>3338098.95273338</v>
      </c>
      <c r="L64" s="15" t="n">
        <f aca="false">L62+L58-L63</f>
        <v>4479775.48858397</v>
      </c>
    </row>
    <row r="65" customFormat="false" ht="15" hidden="false" customHeight="false" outlineLevel="0" collapsed="false">
      <c r="A65" s="6" t="s">
        <v>401</v>
      </c>
      <c r="C65" s="16" t="n">
        <f aca="false">IF(C62=0,0,C63/C62)</f>
        <v>0.817842850326089</v>
      </c>
      <c r="D65" s="16" t="n">
        <f aca="false">IF(D62=0,0,D63/D62)</f>
        <v>0.832141861546819</v>
      </c>
      <c r="E65" s="16" t="n">
        <f aca="false">IF(E62=0,0,E63/E62)</f>
        <v>0</v>
      </c>
      <c r="F65" s="16" t="n">
        <f aca="false">IF(F62=0,0,F63/F62)</f>
        <v>0</v>
      </c>
      <c r="G65" s="16" t="n">
        <f aca="false">IF(G62=0,0,G63/G62)</f>
        <v>0</v>
      </c>
      <c r="H65" s="16" t="n">
        <f aca="false">IF(H62=0,0,H63/H62)</f>
        <v>0</v>
      </c>
      <c r="I65" s="16" t="n">
        <f aca="false">IF(I62=0,0,I63/I62)</f>
        <v>0</v>
      </c>
      <c r="J65" s="16" t="n">
        <f aca="false">IF(J62=0,0,J63/J62)</f>
        <v>0</v>
      </c>
      <c r="K65" s="16" t="n">
        <f aca="false">IF(K62=0,0,K63/K62)</f>
        <v>0</v>
      </c>
      <c r="L65" s="16" t="n">
        <f aca="false">IF(L62=0,0,L63/L62)</f>
        <v>0</v>
      </c>
    </row>
    <row r="67" customFormat="false" ht="15" hidden="false" customHeight="false" outlineLevel="0" collapsed="false">
      <c r="A67" s="17" t="s">
        <v>402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403</v>
      </c>
      <c r="C68" s="14" t="n">
        <f aca="false">C48*Assumptions!$F$77</f>
        <v>11500000</v>
      </c>
      <c r="D68" s="14" t="n">
        <f aca="false">D48*Assumptions!$F$77</f>
        <v>0</v>
      </c>
      <c r="E68" s="14" t="n">
        <f aca="false">E48*Assumptions!$F$77</f>
        <v>-11500000</v>
      </c>
      <c r="F68" s="14" t="n">
        <f aca="false">F48*Assumptions!$F$77</f>
        <v>0</v>
      </c>
      <c r="G68" s="14" t="n">
        <f aca="false">G48*Assumptions!$F$77</f>
        <v>0</v>
      </c>
      <c r="H68" s="14" t="n">
        <f aca="false">H48*Assumptions!$F$77</f>
        <v>0</v>
      </c>
      <c r="I68" s="14" t="n">
        <f aca="false">I48*Assumptions!$F$77</f>
        <v>0</v>
      </c>
      <c r="J68" s="14" t="n">
        <f aca="false">J48*Assumptions!$F$77</f>
        <v>0</v>
      </c>
      <c r="K68" s="14" t="n">
        <f aca="false">K48*Assumptions!$F$77</f>
        <v>0</v>
      </c>
      <c r="L68" s="14" t="n">
        <f aca="false">L48*Assumptions!$F$77</f>
        <v>0</v>
      </c>
    </row>
    <row r="69" customFormat="false" ht="15" hidden="false" customHeight="false" outlineLevel="0" collapsed="false">
      <c r="A69" s="6" t="s">
        <v>404</v>
      </c>
      <c r="C69" s="37" t="n">
        <f aca="false">C36-C38-C39-C51-C52-C68+C41</f>
        <v>-13056449</v>
      </c>
      <c r="D69" s="37" t="n">
        <f aca="false">D36-D38-D39-D51-D52-D68+D41</f>
        <v>-1761446.29787181</v>
      </c>
      <c r="E69" s="37" t="n">
        <f aca="false">E36-E38-E39-E51-E52-E68+E41</f>
        <v>19696308.0331031</v>
      </c>
      <c r="F69" s="37" t="n">
        <f aca="false">F36-F38-F39-F51-F52-F68+F41</f>
        <v>-846863.425</v>
      </c>
      <c r="G69" s="37" t="n">
        <f aca="false">G36-G38-G39-G51-G52-G68+G41</f>
        <v>-619029.8455</v>
      </c>
      <c r="H69" s="37" t="n">
        <f aca="false">H36-H38-H39-H51-H52-H68+H41</f>
        <v>-289818.518575</v>
      </c>
      <c r="I69" s="37" t="n">
        <f aca="false">I36-I38-I39-I51-I52-I68+I41</f>
        <v>59702.6148264501</v>
      </c>
      <c r="J69" s="37" t="n">
        <f aca="false">J36-J38-J39-J51-J52-J68+J41</f>
        <v>430455.852898705</v>
      </c>
      <c r="K69" s="37" t="n">
        <f aca="false">K36-K38-K39-K51-K52-K68+K41</f>
        <v>823400.552901951</v>
      </c>
      <c r="L69" s="37" t="n">
        <f aca="false">L36-L38-L39-L51-L52-L68+L41</f>
        <v>1141676.53585059</v>
      </c>
    </row>
    <row r="70" customFormat="false" ht="15" hidden="false" customHeight="false" outlineLevel="0" collapsed="false">
      <c r="A70" s="11" t="s">
        <v>405</v>
      </c>
      <c r="C70" s="7" t="n">
        <f aca="false">-C69*Assumptions!$F$75</f>
        <v>4830886.13</v>
      </c>
      <c r="D70" s="7" t="n">
        <f aca="false">-D69*Assumptions!$F$75</f>
        <v>651735.130212571</v>
      </c>
      <c r="E70" s="7" t="n">
        <f aca="false">-E69*Assumptions!$F$75</f>
        <v>-7287633.97224816</v>
      </c>
      <c r="F70" s="7" t="n">
        <f aca="false">-F69*Assumptions!$F$75</f>
        <v>313339.46725</v>
      </c>
      <c r="G70" s="7" t="n">
        <f aca="false">-G69*Assumptions!$F$75</f>
        <v>229041.042835</v>
      </c>
      <c r="H70" s="7" t="n">
        <f aca="false">-H69*Assumptions!$F$75</f>
        <v>107232.85187275</v>
      </c>
      <c r="I70" s="7" t="n">
        <f aca="false">-I69*Assumptions!$F$75</f>
        <v>-22089.9674857865</v>
      </c>
      <c r="J70" s="7" t="n">
        <f aca="false">-J69*Assumptions!$F$75</f>
        <v>-159268.665572521</v>
      </c>
      <c r="K70" s="7" t="n">
        <f aca="false">-K69*Assumptions!$F$75</f>
        <v>-304658.204573722</v>
      </c>
      <c r="L70" s="7" t="n">
        <f aca="false">-L69*Assumptions!$F$75</f>
        <v>-422420.318264718</v>
      </c>
    </row>
    <row r="71" customFormat="false" ht="15" hidden="false" customHeight="false" outlineLevel="0" collapsed="false">
      <c r="A71" s="2" t="s">
        <v>406</v>
      </c>
    </row>
    <row r="73" customFormat="false" ht="15" hidden="false" customHeight="false" outlineLevel="0" collapsed="false">
      <c r="A73" s="17" t="s">
        <v>407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250</v>
      </c>
      <c r="C74" s="42" t="n">
        <f aca="false">Assumptions!$F$71</f>
        <v>2036</v>
      </c>
    </row>
    <row r="75" customFormat="false" ht="15" hidden="false" customHeight="false" outlineLevel="0" collapsed="false">
      <c r="A75" s="6" t="s">
        <v>398</v>
      </c>
      <c r="C75" s="14" t="n">
        <f aca="false">INDEX($C$62:$L$62,MATCH(Assumptions!$F$71,$C$5:$L$5,0))</f>
        <v>0</v>
      </c>
    </row>
    <row r="76" customFormat="false" ht="15" hidden="false" customHeight="false" outlineLevel="0" collapsed="false">
      <c r="A76" s="6" t="s">
        <v>408</v>
      </c>
      <c r="C76" s="14" t="n">
        <f aca="false">-C75*Assumptions!$F$73</f>
        <v>-0</v>
      </c>
    </row>
    <row r="77" customFormat="false" ht="15" hidden="false" customHeight="false" outlineLevel="0" collapsed="false">
      <c r="A77" s="6" t="s">
        <v>409</v>
      </c>
      <c r="C77" s="14" t="n">
        <f aca="false">INDEX($C$22:$L$22,MATCH(Assumptions!$F$71,$C$5:$L$5,0))</f>
        <v>3000978.32280726</v>
      </c>
    </row>
    <row r="78" customFormat="false" ht="15" hidden="false" customHeight="false" outlineLevel="0" collapsed="false">
      <c r="A78" s="6" t="s">
        <v>410</v>
      </c>
      <c r="C78" s="14" t="n">
        <f aca="false">C77*Assumptions!$F$72</f>
        <v>18005869.9368436</v>
      </c>
    </row>
    <row r="79" customFormat="false" ht="15" hidden="false" customHeight="false" outlineLevel="0" collapsed="false">
      <c r="A79" s="6" t="s">
        <v>411</v>
      </c>
      <c r="C79" s="37" t="n">
        <f aca="false">C75+C76+C78</f>
        <v>18005869.9368436</v>
      </c>
    </row>
    <row r="80" customFormat="false" ht="15" hidden="false" customHeight="false" outlineLevel="0" collapsed="false">
      <c r="A80" s="6" t="s">
        <v>412</v>
      </c>
      <c r="C80" s="14" t="n">
        <f aca="false">-INDEX($C$63:$L$63,MATCH(Assumptions!$F$71,$C$5:$L$5,0))</f>
        <v>-0</v>
      </c>
    </row>
    <row r="81" customFormat="false" ht="15" hidden="false" customHeight="false" outlineLevel="0" collapsed="false">
      <c r="A81" s="6" t="s">
        <v>413</v>
      </c>
      <c r="C81" s="14" t="n">
        <f aca="false">INDEX($C$58:$L$58,MATCH(Assumptions!$F$71,$C$5:$L$5,0))</f>
        <v>4479775.48858397</v>
      </c>
    </row>
    <row r="82" customFormat="false" ht="15" hidden="false" customHeight="false" outlineLevel="0" collapsed="false">
      <c r="A82" s="11" t="s">
        <v>414</v>
      </c>
      <c r="C82" s="24" t="n">
        <f aca="false">C79+C80+C81</f>
        <v>22485645.4254276</v>
      </c>
    </row>
    <row r="83" customFormat="false" ht="15" hidden="false" customHeight="false" outlineLevel="0" collapsed="false">
      <c r="A83" s="6" t="s">
        <v>415</v>
      </c>
      <c r="C83" s="14" t="n">
        <f aca="false">SUMPRODUCT(($C$5:$L$5&lt;=Assumptions!$F$71)*$C$57:$L$57)</f>
        <v>8043983.98594997</v>
      </c>
    </row>
    <row r="84" customFormat="false" ht="15" hidden="false" customHeight="false" outlineLevel="0" collapsed="false">
      <c r="A84" s="6" t="s">
        <v>416</v>
      </c>
      <c r="C84" s="14" t="n">
        <f aca="false">SUMPRODUCT(($C$5:$L$5&lt;=Assumptions!$F$71)*$C$57:$L$57*((1+Assumptions!$F$67)^(Assumptions!$F$71-$C$5:$L$5)-1))</f>
        <v>7714964.29558267</v>
      </c>
    </row>
    <row r="85" customFormat="false" ht="15" hidden="false" customHeight="false" outlineLevel="0" collapsed="false">
      <c r="A85" s="6" t="s">
        <v>417</v>
      </c>
      <c r="C85" s="37" t="n">
        <f aca="false">MIN(MAX(C82,0),C83)</f>
        <v>8043983.98594997</v>
      </c>
    </row>
    <row r="86" customFormat="false" ht="15" hidden="false" customHeight="false" outlineLevel="0" collapsed="false">
      <c r="A86" s="6" t="s">
        <v>418</v>
      </c>
      <c r="C86" s="37" t="n">
        <f aca="false">MIN(MAX(C82,0)-C85,C84)</f>
        <v>7714964.29558267</v>
      </c>
    </row>
    <row r="87" customFormat="false" ht="15" hidden="false" customHeight="false" outlineLevel="0" collapsed="false">
      <c r="A87" s="6" t="s">
        <v>419</v>
      </c>
      <c r="C87" s="37" t="n">
        <f aca="false">MAX(C82,0)-C85-C86</f>
        <v>6726697.14389491</v>
      </c>
    </row>
    <row r="88" customFormat="false" ht="15" hidden="false" customHeight="false" outlineLevel="0" collapsed="false">
      <c r="A88" s="11" t="s">
        <v>420</v>
      </c>
      <c r="C88" s="7" t="n">
        <f aca="false">(C85+C86+C87*Assumptions!$F$68)*(1-Assumptions!$F$66)</f>
        <v>21140305.9966486</v>
      </c>
    </row>
    <row r="89" customFormat="false" ht="15" hidden="false" customHeight="false" outlineLevel="0" collapsed="false">
      <c r="A89" s="11" t="s">
        <v>421</v>
      </c>
      <c r="C89" s="7" t="n">
        <f aca="false">(C85+C86+C87*Assumptions!$F$68)*Assumptions!$F$66+C87*(1-Assumptions!$F$68)</f>
        <v>1345339.42877898</v>
      </c>
    </row>
    <row r="90" customFormat="false" ht="15" hidden="false" customHeight="false" outlineLevel="0" collapsed="false">
      <c r="A90" s="6" t="s">
        <v>422</v>
      </c>
      <c r="C90" s="14" t="n">
        <f aca="false">SUMPRODUCT(($C$5:$L$5&lt;=Assumptions!$F$71)*$C$51:$L$51)</f>
        <v>0</v>
      </c>
    </row>
    <row r="91" customFormat="false" ht="15" hidden="false" customHeight="false" outlineLevel="0" collapsed="false">
      <c r="A91" s="11" t="s">
        <v>423</v>
      </c>
      <c r="C91" s="9" t="n">
        <f aca="false">IF(C83=0,0,C88/(C83*(1-Assumptions!$F$66)))</f>
        <v>2.62808902076052</v>
      </c>
    </row>
    <row r="92" customFormat="false" ht="15" hidden="false" customHeight="false" outlineLevel="0" collapsed="false">
      <c r="A92" s="11" t="s">
        <v>424</v>
      </c>
      <c r="C92" s="26" t="n">
        <f aca="false">IFERROR(IRR($C$102:$L$102,0.1),IFERROR(IRR($C$102:$L$102,-0.1),"n/a"))</f>
        <v>0.116881813627886</v>
      </c>
    </row>
    <row r="93" customFormat="false" ht="15" hidden="false" customHeight="false" outlineLevel="0" collapsed="false">
      <c r="A93" s="11" t="s">
        <v>425</v>
      </c>
      <c r="C93" s="26" t="n">
        <f aca="false">IFERROR(IRR($C$103:$L$103,0.1),IFERROR(IRR($C$103:$L$103,-0.1),"n/a"))</f>
        <v>0.075452858878631</v>
      </c>
    </row>
    <row r="94" customFormat="false" ht="15" hidden="false" customHeight="false" outlineLevel="0" collapsed="false">
      <c r="A94" s="6" t="s">
        <v>426</v>
      </c>
      <c r="C94" s="48" t="n">
        <f aca="false">IF(C83=0,0,(C88+SUMPRODUCT(($C$5:$L$5&lt;=Assumptions!$F$71)*$C$70:$L$70)*(1-Assumptions!$F$66)+C97)/(C83*(1-Assumptions!$F$66)))</f>
        <v>1.83877447686868</v>
      </c>
    </row>
    <row r="95" customFormat="false" ht="15" hidden="false" customHeight="false" outlineLevel="0" collapsed="false">
      <c r="A95" s="6" t="s">
        <v>427</v>
      </c>
      <c r="C95" s="16" t="n">
        <f aca="false">IFERROR(IRR($C$101:$L$101,0.1),IFERROR(IRR($C$101:$L$101,-0.1),"n/a"))</f>
        <v>0.124782572346869</v>
      </c>
    </row>
    <row r="96" customFormat="false" ht="15" hidden="false" customHeight="false" outlineLevel="0" collapsed="false">
      <c r="A96" s="6" t="s">
        <v>428</v>
      </c>
      <c r="C96" s="37" t="n">
        <f aca="false">MAX($C$59:$L$59)</f>
        <v>8043983.98594997</v>
      </c>
    </row>
    <row r="97" customFormat="false" ht="15" hidden="false" customHeight="false" outlineLevel="0" collapsed="false">
      <c r="A97" s="6" t="s">
        <v>429</v>
      </c>
      <c r="C97" s="14" t="n">
        <f aca="false">-(MAX(0,C75+C76)*Assumptions!$F$75+C78*Assumptions!$F$76)*(1-Assumptions!$F$66)</f>
        <v>-4285397.04496877</v>
      </c>
    </row>
    <row r="99" customFormat="false" ht="15" hidden="false" customHeight="false" outlineLevel="0" collapsed="false">
      <c r="A99" s="17" t="s">
        <v>430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431</v>
      </c>
      <c r="C100" s="21" t="n">
        <f aca="false">IF(C5=Assumptions!$F$71,1,0)</f>
        <v>0</v>
      </c>
      <c r="D100" s="21" t="n">
        <f aca="false">IF(D5=Assumptions!$F$71,1,0)</f>
        <v>0</v>
      </c>
      <c r="E100" s="21" t="n">
        <f aca="false">IF(E5=Assumptions!$F$71,1,0)</f>
        <v>0</v>
      </c>
      <c r="F100" s="21" t="n">
        <f aca="false">IF(F5=Assumptions!$F$71,1,0)</f>
        <v>0</v>
      </c>
      <c r="G100" s="21" t="n">
        <f aca="false">IF(G5=Assumptions!$F$71,1,0)</f>
        <v>0</v>
      </c>
      <c r="H100" s="21" t="n">
        <f aca="false">IF(H5=Assumptions!$F$71,1,0)</f>
        <v>0</v>
      </c>
      <c r="I100" s="21" t="n">
        <f aca="false">IF(I5=Assumptions!$F$71,1,0)</f>
        <v>0</v>
      </c>
      <c r="J100" s="21" t="n">
        <f aca="false">IF(J5=Assumptions!$F$71,1,0)</f>
        <v>0</v>
      </c>
      <c r="K100" s="21" t="n">
        <f aca="false">IF(K5=Assumptions!$F$71,1,0)</f>
        <v>0</v>
      </c>
      <c r="L100" s="21" t="n">
        <f aca="false">IF(L5=Assumptions!$F$71,1,0)</f>
        <v>1</v>
      </c>
    </row>
    <row r="101" customFormat="false" ht="15" hidden="false" customHeight="false" outlineLevel="0" collapsed="false">
      <c r="A101" s="6" t="s">
        <v>432</v>
      </c>
      <c r="C101" s="14" t="n">
        <f aca="false">IF(C5&gt;Assumptions!$F$71,0,-C57+C100*$C$82)</f>
        <v>-5876067.78797498</v>
      </c>
      <c r="D101" s="14" t="n">
        <f aca="false">IF(D5&gt;Assumptions!$F$71,0,-D57+D100*$C$82)</f>
        <v>-2167916.19797498</v>
      </c>
      <c r="E101" s="14" t="n">
        <f aca="false">IF(E5&gt;Assumptions!$F$71,0,-E57+E100*$C$82)</f>
        <v>0</v>
      </c>
      <c r="F101" s="14" t="n">
        <f aca="false">IF(F5&gt;Assumptions!$F$71,0,-F57+F100*$C$82)</f>
        <v>0</v>
      </c>
      <c r="G101" s="14" t="n">
        <f aca="false">IF(G5&gt;Assumptions!$F$71,0,-G57+G100*$C$82)</f>
        <v>0</v>
      </c>
      <c r="H101" s="14" t="n">
        <f aca="false">IF(H5&gt;Assumptions!$F$71,0,-H57+H100*$C$82)</f>
        <v>0</v>
      </c>
      <c r="I101" s="14" t="n">
        <f aca="false">IF(I5&gt;Assumptions!$F$71,0,-I57+I100*$C$82)</f>
        <v>0</v>
      </c>
      <c r="J101" s="14" t="n">
        <f aca="false">IF(J5&gt;Assumptions!$F$71,0,-J57+J100*$C$82)</f>
        <v>0</v>
      </c>
      <c r="K101" s="14" t="n">
        <f aca="false">IF(K5&gt;Assumptions!$F$71,0,-K57+K100*$C$82)</f>
        <v>0</v>
      </c>
      <c r="L101" s="14" t="n">
        <f aca="false">IF(L5&gt;Assumptions!$F$71,0,-L57+L100*$C$82)</f>
        <v>22485645.4254276</v>
      </c>
    </row>
    <row r="102" customFormat="false" ht="15" hidden="false" customHeight="false" outlineLevel="0" collapsed="false">
      <c r="A102" s="11" t="s">
        <v>433</v>
      </c>
      <c r="C102" s="7" t="n">
        <f aca="false">IF(C5&gt;Assumptions!$F$71,0,-C57*(1-Assumptions!$F$66)+C100*$C$88)</f>
        <v>-5876067.78797498</v>
      </c>
      <c r="D102" s="7" t="n">
        <f aca="false">IF(D5&gt;Assumptions!$F$71,0,-D57*(1-Assumptions!$F$66)+D100*$C$88)</f>
        <v>-2167916.19797498</v>
      </c>
      <c r="E102" s="7" t="n">
        <f aca="false">IF(E5&gt;Assumptions!$F$71,0,-E57*(1-Assumptions!$F$66)+E100*$C$88)</f>
        <v>0</v>
      </c>
      <c r="F102" s="7" t="n">
        <f aca="false">IF(F5&gt;Assumptions!$F$71,0,-F57*(1-Assumptions!$F$66)+F100*$C$88)</f>
        <v>0</v>
      </c>
      <c r="G102" s="7" t="n">
        <f aca="false">IF(G5&gt;Assumptions!$F$71,0,-G57*(1-Assumptions!$F$66)+G100*$C$88)</f>
        <v>0</v>
      </c>
      <c r="H102" s="7" t="n">
        <f aca="false">IF(H5&gt;Assumptions!$F$71,0,-H57*(1-Assumptions!$F$66)+H100*$C$88)</f>
        <v>0</v>
      </c>
      <c r="I102" s="7" t="n">
        <f aca="false">IF(I5&gt;Assumptions!$F$71,0,-I57*(1-Assumptions!$F$66)+I100*$C$88)</f>
        <v>0</v>
      </c>
      <c r="J102" s="7" t="n">
        <f aca="false">IF(J5&gt;Assumptions!$F$71,0,-J57*(1-Assumptions!$F$66)+J100*$C$88)</f>
        <v>0</v>
      </c>
      <c r="K102" s="7" t="n">
        <f aca="false">IF(K5&gt;Assumptions!$F$71,0,-K57*(1-Assumptions!$F$66)+K100*$C$88)</f>
        <v>0</v>
      </c>
      <c r="L102" s="7" t="n">
        <f aca="false">IF(L5&gt;Assumptions!$F$71,0,-L57*(1-Assumptions!$F$66)+L100*$C$88)</f>
        <v>21140305.9966486</v>
      </c>
    </row>
    <row r="103" customFormat="false" ht="15" hidden="false" customHeight="false" outlineLevel="0" collapsed="false">
      <c r="A103" s="6" t="s">
        <v>434</v>
      </c>
      <c r="C103" s="14" t="n">
        <f aca="false">IF(C5&gt;Assumptions!$F$71,0,C102+C70*(1-Assumptions!$F$66)+C100*$C$97)</f>
        <v>-1045181.65797498</v>
      </c>
      <c r="D103" s="14" t="n">
        <f aca="false">IF(D5&gt;Assumptions!$F$71,0,D102+D70*(1-Assumptions!$F$66)+D100*$C$97)</f>
        <v>-1516181.06776241</v>
      </c>
      <c r="E103" s="14" t="n">
        <f aca="false">IF(E5&gt;Assumptions!$F$71,0,E102+E70*(1-Assumptions!$F$66)+E100*$C$97)</f>
        <v>-7287633.97224816</v>
      </c>
      <c r="F103" s="14" t="n">
        <f aca="false">IF(F5&gt;Assumptions!$F$71,0,F102+F70*(1-Assumptions!$F$66)+F100*$C$97)</f>
        <v>313339.46725</v>
      </c>
      <c r="G103" s="14" t="n">
        <f aca="false">IF(G5&gt;Assumptions!$F$71,0,G102+G70*(1-Assumptions!$F$66)+G100*$C$97)</f>
        <v>229041.042835</v>
      </c>
      <c r="H103" s="14" t="n">
        <f aca="false">IF(H5&gt;Assumptions!$F$71,0,H102+H70*(1-Assumptions!$F$66)+H100*$C$97)</f>
        <v>107232.85187275</v>
      </c>
      <c r="I103" s="14" t="n">
        <f aca="false">IF(I5&gt;Assumptions!$F$71,0,I102+I70*(1-Assumptions!$F$66)+I100*$C$97)</f>
        <v>-22089.9674857865</v>
      </c>
      <c r="J103" s="14" t="n">
        <f aca="false">IF(J5&gt;Assumptions!$F$71,0,J102+J70*(1-Assumptions!$F$66)+J100*$C$97)</f>
        <v>-159268.665572521</v>
      </c>
      <c r="K103" s="14" t="n">
        <f aca="false">IF(K5&gt;Assumptions!$F$71,0,K102+K70*(1-Assumptions!$F$66)+K100*$C$97)</f>
        <v>-304658.204573722</v>
      </c>
      <c r="L103" s="14" t="n">
        <f aca="false">IF(L5&gt;Assumptions!$F$71,0,L102+L70*(1-Assumptions!$F$66)+L100*$C$97)</f>
        <v>16432488.6334151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2026-10-30T23:34:25Z</dcterms:created>
  <dc:creator>openpyxl</dc:creator>
  <dc:description/>
  <dc:language>en-US</dc:language>
  <cp:lastModifiedBy/>
  <dcterms:modified xsi:type="dcterms:W3CDTF">2026-10-30T23:34:25Z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