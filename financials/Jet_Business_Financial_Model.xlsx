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Startup Budget" sheetId="3" state="visible" r:id="rId5"/>
    <sheet name="Forecast" sheetId="4" state="visible" r:id="rId6"/>
    <sheet name="Fleet Plan" sheetId="5" state="visible" r:id="rId7"/>
    <sheet name="Unit Economics" sheetId="6" state="visible" r:id="rId8"/>
    <sheet name="Financing Scenarios" sheetId="7" state="visible" r:id="rId9"/>
    <sheet name="Debt Schedule" sheetId="8" state="visible" r:id="rId10"/>
    <sheet name="Exi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<sst xmlns="http://schemas.openxmlformats.org/spreadsheetml/2006/main" count="530" uniqueCount="361">
  <si>
    <t xml:space="preserve">Jet overflow charter business: dashboard</t>
  </si>
  <si>
    <t xml:space="preserve">Change the scenario on the Assumptions sheet (cell C3). All figures update.</t>
  </si>
  <si>
    <t xml:space="preserve">Metric</t>
  </si>
  <si>
    <t xml:space="preserve">Value</t>
  </si>
  <si>
    <t xml:space="preserve">What it means</t>
  </si>
  <si>
    <t xml:space="preserve">Purchase price, Jet #1</t>
  </si>
  <si>
    <t xml:space="preserve">Equity needed to launch</t>
  </si>
  <si>
    <t xml:space="preserve">Down payment + startup costs + reserve</t>
  </si>
  <si>
    <t xml:space="preserve">Aircraft loan</t>
  </si>
  <si>
    <t xml:space="preserve">Mature-year EBITDA, one jet</t>
  </si>
  <si>
    <t xml:space="preserve">Before debt</t>
  </si>
  <si>
    <t xml:space="preserve">Annual debt service, one jet</t>
  </si>
  <si>
    <t xml:space="preserve">Cash flow after debt, one jet</t>
  </si>
  <si>
    <t xml:space="preserve">Negative = owners fund the gap</t>
  </si>
  <si>
    <t xml:space="preserve">Breakeven billable hours (EBITDA)</t>
  </si>
  <si>
    <t xml:space="preserve">Breakeven billable hours incl. debt</t>
  </si>
  <si>
    <t xml:space="preserve">Key target for the management company</t>
  </si>
  <si>
    <t xml:space="preserve">Peak cumulative owner equity (10 yrs)</t>
  </si>
  <si>
    <t xml:space="preserve">Total cash Henry and partners must fund</t>
  </si>
  <si>
    <t xml:space="preserve">Net exit proceeds</t>
  </si>
  <si>
    <t xml:space="preserve">Multiple on invested equity</t>
  </si>
  <si>
    <t xml:space="preserve">Equity IRR</t>
  </si>
  <si>
    <t xml:space="preserve">Before owner tax effects</t>
  </si>
  <si>
    <t xml:space="preserve">Owned aircraft at exit</t>
  </si>
  <si>
    <t xml:space="preserve">Third-party managed aircraft at exit</t>
  </si>
  <si>
    <t xml:space="preserve">Revenue in exit year</t>
  </si>
  <si>
    <t xml:space="preserve">EBITDA in exit year</t>
  </si>
  <si>
    <t xml:space="preserve">Legend</t>
  </si>
  <si>
    <t xml:space="preserve">Blue text: input you can change</t>
  </si>
  <si>
    <t xml:space="preserve">Black text: formula</t>
  </si>
  <si>
    <t xml:space="preserve">Green text: link to another sheet</t>
  </si>
  <si>
    <t xml:space="preserve">Yellow fill: key lever</t>
  </si>
  <si>
    <t xml:space="preserve">All estimates must be verified with quotes from lenders, the management company, insurers and an aircraft broker.</t>
  </si>
  <si>
    <t xml:space="preserve">Assumptions: Citation Latitude overflow charter business</t>
  </si>
  <si>
    <t xml:space="preserve">Blue = input you can change. Yellow = key lever. Column F (Live) feeds the forecast based on the scenario selected in C3.</t>
  </si>
  <si>
    <t xml:space="preserve">Active scenario (1 = Downside, 2 = Base, 3 = Upside)</t>
  </si>
  <si>
    <t xml:space="preserve">Assumption</t>
  </si>
  <si>
    <t xml:space="preserve">Unit</t>
  </si>
  <si>
    <t xml:space="preserve">Downside</t>
  </si>
  <si>
    <t xml:space="preserve">Base</t>
  </si>
  <si>
    <t xml:space="preserve">Upside</t>
  </si>
  <si>
    <t xml:space="preserve">Live</t>
  </si>
  <si>
    <t xml:space="preserve">Source / note</t>
  </si>
  <si>
    <t xml:space="preserve">Aircraft acquisition (per aircraft)</t>
  </si>
  <si>
    <t xml:space="preserve">Purchase price, used Citation Latitude (2016-2019)</t>
  </si>
  <si>
    <t xml:space="preserve">$</t>
  </si>
  <si>
    <t xml:space="preserve">AvBuyer/Aircraft Bluebook guide: 2020 Latitude ~$17.5M (May 2025), asking range $18.75-22.5M for newer units. Older 2016-2019 units assumed lower. VERIFY with a broker/JETNET before LOI.</t>
  </si>
  <si>
    <t xml:space="preserve">Annual change in price paid for later aircraft</t>
  </si>
  <si>
    <t xml:space="preserve">%</t>
  </si>
  <si>
    <t xml:space="preserve">Assumes later purchases are similar-vintage aircraft at today's price. Adjust if the market moves.</t>
  </si>
  <si>
    <t xml:space="preserve">Pre-buy inspection (Textron service center)</t>
  </si>
  <si>
    <t xml:space="preserve">Estimate; includes ferry to inspection facility and borescope.</t>
  </si>
  <si>
    <t xml:space="preserve">Closing legal, escrow, title, registration</t>
  </si>
  <si>
    <t xml:space="preserve">Estimate.</t>
  </si>
  <si>
    <t xml:space="preserve">Part 135 onboarding, conformity, Wi-Fi/avionics updates</t>
  </si>
  <si>
    <t xml:space="preserve">Adding aircraft to operator's certificate (conformity, manuals, OpSpecs), plus connectivity charter customers expect. Estimate.</t>
  </si>
  <si>
    <t xml:space="preserve">Cosmetic interior / paint refresh</t>
  </si>
  <si>
    <t xml:space="preserve">Fractional customers expect fleet-standard cabins. Estimate.</t>
  </si>
  <si>
    <t xml:space="preserve">Initial crew training and hiring (per aircraft)</t>
  </si>
  <si>
    <t xml:space="preserve">Type rating for new hires (CE-680A) and Part 135 initial. Estimate.</t>
  </si>
  <si>
    <t xml:space="preserve">Company formation, legal, accounting, insurance setup (once)</t>
  </si>
  <si>
    <t xml:space="preserve">LLC formation, operating agreement, aviation counsel, CPA, insurance broker. Estimate.</t>
  </si>
  <si>
    <t xml:space="preserve">Financing</t>
  </si>
  <si>
    <t xml:space="preserve">Loan-to-value (debt share of purchase price)</t>
  </si>
  <si>
    <t xml:space="preserve">Henry: assume at least 80% debt. See 'Financing Scenarios' for 60-90%.</t>
  </si>
  <si>
    <t xml:space="preserve">Interest rate (fixed)</t>
  </si>
  <si>
    <t xml:space="preserve">Advertised jet loan rates ~5.6-9% (Sep/Oct 2026 rate sheets); prime 7.00% (Oct 2026). flycraft.com/aircraft-financing/aircraft-loan-rates</t>
  </si>
  <si>
    <t xml:space="preserve">Amortization period</t>
  </si>
  <si>
    <t xml:space="preserve">years</t>
  </si>
  <si>
    <t xml:space="preserve">Typical 10-20 yr amortization, often with a 5-7 yr balloon refinanced at the time. Model assumes refinance on same terms.</t>
  </si>
  <si>
    <t xml:space="preserve">Charter revenue (per owned aircraft)</t>
  </si>
  <si>
    <t xml:space="preserve">Billable revenue hours per aircraft at maturity</t>
  </si>
  <si>
    <t xml:space="preserve">hrs/yr</t>
  </si>
  <si>
    <t xml:space="preserve">Includes billable repositioning. Dedicated fractional supplemental lift can run 800+ hrs; retail-only charter often 300-450.</t>
  </si>
  <si>
    <t xml:space="preserve">Months in revenue service in 2027</t>
  </si>
  <si>
    <t xml:space="preserve">months</t>
  </si>
  <si>
    <t xml:space="preserve">Henry: target revenue flying mid-2027.</t>
  </si>
  <si>
    <t xml:space="preserve">Utilization in first year of service (% of mature)</t>
  </si>
  <si>
    <t xml:space="preserve">Ramp while operator builds the aircraft into its overflow rotation.</t>
  </si>
  <si>
    <t xml:space="preserve">Utilization in second year (% of mature)</t>
  </si>
  <si>
    <t xml:space="preserve">Share of hours flown as fractional / program overflow</t>
  </si>
  <si>
    <t xml:space="preserve">NetJets, Flexjet, jet card and membership programs. The rest is broker/retail charter.</t>
  </si>
  <si>
    <t xml:space="preserve">Wholesale rate, overflow / subcontract trips</t>
  </si>
  <si>
    <t xml:space="preserve">$/hr</t>
  </si>
  <si>
    <t xml:space="preserve">Wholesale is below retail. NetJets' own midsize lift program retails $8,000-10,900/hr (SherpaReport). Estimate; get actual subcontract rates from the management company.</t>
  </si>
  <si>
    <t xml:space="preserve">Retail / broker charter rate</t>
  </si>
  <si>
    <t xml:space="preserve">Excludes 7.5% federal excise tax (collected from the customer and remitted). Estimate.</t>
  </si>
  <si>
    <t xml:space="preserve">Annual charter rate growth</t>
  </si>
  <si>
    <t xml:space="preserve">Unpaid positioning hours (% of billable)</t>
  </si>
  <si>
    <t xml:space="preserve">Denver base means some empty legs to the coasts. Estimate.</t>
  </si>
  <si>
    <t xml:space="preserve">Variable operating costs (per flight hour)</t>
  </si>
  <si>
    <t xml:space="preserve">Fuel burn</t>
  </si>
  <si>
    <t xml:space="preserve">gal/hr</t>
  </si>
  <si>
    <t xml:space="preserve">Flycraft cites 315 gal/hr block (conservative); typical mission average lower.</t>
  </si>
  <si>
    <t xml:space="preserve">Jet-A price (contract/volume pricing)</t>
  </si>
  <si>
    <t xml:space="preserve">$/gal</t>
  </si>
  <si>
    <t xml:space="preserve">Flycraft used $7.66/gal retail (Oct 2026). Contract fuel cards typically discount.</t>
  </si>
  <si>
    <t xml:space="preserve">Airframe maintenance and parts</t>
  </si>
  <si>
    <t xml:space="preserve">Flycraft range $800-1,300/hr incl. unscheduled. Estimate.</t>
  </si>
  <si>
    <t xml:space="preserve">Engine program (2 x PW306D1, ESP)</t>
  </si>
  <si>
    <t xml:space="preserve">Flycraft range $275-425 per engine per hour. Engines must be on program for resale value.</t>
  </si>
  <si>
    <t xml:space="preserve">APU program</t>
  </si>
  <si>
    <t xml:space="preserve">Crew travel, landing, handling fees (not rebilled)</t>
  </si>
  <si>
    <t xml:space="preserve">Flycraft range $400-650/hr.</t>
  </si>
  <si>
    <t xml:space="preserve">Fixed operating costs (per owned aircraft, per year)</t>
  </si>
  <si>
    <t xml:space="preserve">Captains per aircraft</t>
  </si>
  <si>
    <t xml:space="preserve">#</t>
  </si>
  <si>
    <t xml:space="preserve">Chief pilot (Henry's partner) is one of the captains.</t>
  </si>
  <si>
    <t xml:space="preserve">First officers per aircraft</t>
  </si>
  <si>
    <t xml:space="preserve">Plus contract pilots for peaks.</t>
  </si>
  <si>
    <t xml:space="preserve">Captain salary</t>
  </si>
  <si>
    <t xml:space="preserve">Midsize Part 135 market. Estimate.</t>
  </si>
  <si>
    <t xml:space="preserve">First officer salary</t>
  </si>
  <si>
    <t xml:space="preserve">Benefits and payroll tax load</t>
  </si>
  <si>
    <t xml:space="preserve">Flycraft used 43% (corporate); charter typically lower.</t>
  </si>
  <si>
    <t xml:space="preserve">Contract pilot budget</t>
  </si>
  <si>
    <t xml:space="preserve">Recurrent training per pilot (sim + Part 135)</t>
  </si>
  <si>
    <t xml:space="preserve">Flycraft range $13-20K sim per pilot; Part 135 adds checkrides and travel.</t>
  </si>
  <si>
    <t xml:space="preserve">Hangar at home base (KBJC)</t>
  </si>
  <si>
    <t xml:space="preserve">Flycraft range $2,305-5,470/month heated. KBJC has Sheltair; Jet Aviation FBO opening 2028.</t>
  </si>
  <si>
    <t xml:space="preserve">Insurance (hull + $100M+ liability, charter use)</t>
  </si>
  <si>
    <t xml:space="preserve">Flycraft: hull 0.15-0.25% of value + liability; charter use adds premium. Get a broker quote.</t>
  </si>
  <si>
    <t xml:space="preserve">Management fee (while on manager's certificate)</t>
  </si>
  <si>
    <t xml:space="preserve">$/month</t>
  </si>
  <si>
    <t xml:space="preserve">Light jet ~$3K/month to heavy $10K+ (Jet Linx). Charter-heavy midsize assumed higher.</t>
  </si>
  <si>
    <t xml:space="preserve">Manager's commission on charter revenue</t>
  </si>
  <si>
    <t xml:space="preserve">Commonly 10-15% of charter revenue. Negotiate.</t>
  </si>
  <si>
    <t xml:space="preserve">Other fixed: CAMP tracking, nav data, Wi-Fi plan, software</t>
  </si>
  <si>
    <t xml:space="preserve">Flycraft range $40-60K corporate; charter adds Wi-Fi and scheduling.</t>
  </si>
  <si>
    <t xml:space="preserve">Contingency / unscheduled downtime reserve</t>
  </si>
  <si>
    <t xml:space="preserve">Henry's company G&amp;A before own certificate</t>
  </si>
  <si>
    <t xml:space="preserve">Accounting, legal, owner-level insurance, chief pilot management stipend.</t>
  </si>
  <si>
    <t xml:space="preserve">Annual cost inflation</t>
  </si>
  <si>
    <t xml:space="preserve">Cash reserve to hold (months of fixed cost per aircraft)</t>
  </si>
  <si>
    <t xml:space="preserve">Lenders and management companies usually require an operating reserve.</t>
  </si>
  <si>
    <t xml:space="preserve">Growth: own Part 135 certificate and third-party management</t>
  </si>
  <si>
    <t xml:space="preserve">First year operating on own Part 135 certificate</t>
  </si>
  <si>
    <t xml:space="preserve">year</t>
  </si>
  <si>
    <t xml:space="preserve">FAA certification typically 12-24 months after application. Downside 2037 = stays on the management company certificate for the whole plan.</t>
  </si>
  <si>
    <t xml:space="preserve">Certificate startup cost (year before)</t>
  </si>
  <si>
    <t xml:space="preserve">Required staff hired early (Director of Ops, Chief Pilot, Director of Maintenance), manuals, consultants, proving runs.</t>
  </si>
  <si>
    <t xml:space="preserve">Own-certificate overhead (fixed)</t>
  </si>
  <si>
    <t xml:space="preserve">$/yr</t>
  </si>
  <si>
    <t xml:space="preserve">DO, DOM, ops control/dispatch, SMS, ARGUS/Wyvern audits, sales, accounting.</t>
  </si>
  <si>
    <t xml:space="preserve">Own-certificate overhead per aircraft operated</t>
  </si>
  <si>
    <t xml:space="preserve">Net margin per third-party managed aircraft</t>
  </si>
  <si>
    <t xml:space="preserve">Management fee + charter commission minus direct staff cost. Estimate.</t>
  </si>
  <si>
    <t xml:space="preserve">Exit and tax</t>
  </si>
  <si>
    <t xml:space="preserve">Exit year</t>
  </si>
  <si>
    <t xml:space="preserve">Henry: grow the fleet over 5-10 years, then exit. 2027-2036 horizon.</t>
  </si>
  <si>
    <t xml:space="preserve">EBITDA multiple on management/charter platform</t>
  </si>
  <si>
    <t xml:space="preserve">x</t>
  </si>
  <si>
    <t xml:space="preserve">Applied to third-party management margin only; owned fleet valued at market. Estimate.</t>
  </si>
  <si>
    <t xml:space="preserve">Fleet selling costs at exit</t>
  </si>
  <si>
    <t xml:space="preserve">Broker commissions, pre-sale inspections.</t>
  </si>
  <si>
    <t xml:space="preserve">Annual decline in aircraft market value</t>
  </si>
  <si>
    <t xml:space="preserve">Estimate; midsize values were firm 2021-2025.</t>
  </si>
  <si>
    <t xml:space="preserve">Owner's marginal tax rate (illustrative)</t>
  </si>
  <si>
    <t xml:space="preserve">Memo only. Consult a CPA on material participation and passive loss limits.</t>
  </si>
  <si>
    <t xml:space="preserve">First-year bonus depreciation</t>
  </si>
  <si>
    <t xml:space="preserve">2025 law restored 100% bonus depreciation permanently; used aircraft qualify; &gt;50% qualified business use. globalair.com</t>
  </si>
  <si>
    <t xml:space="preserve">Startup budget: first aircraft (Live scenario)</t>
  </si>
  <si>
    <t xml:space="preserve">Uses and sources of cash to get Jet #1 flying revenue trips.</t>
  </si>
  <si>
    <t xml:space="preserve">Uses of cash</t>
  </si>
  <si>
    <t xml:space="preserve">Amount</t>
  </si>
  <si>
    <t xml:space="preserve">Note</t>
  </si>
  <si>
    <t xml:space="preserve">Purchase price</t>
  </si>
  <si>
    <t xml:space="preserve">Assumptions</t>
  </si>
  <si>
    <t xml:space="preserve">Pre-buy inspection</t>
  </si>
  <si>
    <t xml:space="preserve">Part 135 onboarding, conformity, Wi-Fi/avionics</t>
  </si>
  <si>
    <t xml:space="preserve">Interior/paint refresh</t>
  </si>
  <si>
    <t xml:space="preserve">Initial crew training and hiring</t>
  </si>
  <si>
    <t xml:space="preserve">Company formation, legal, accounting, insurance setup</t>
  </si>
  <si>
    <t xml:space="preserve">Cash reserve (operating)</t>
  </si>
  <si>
    <t xml:space="preserve">Months of fixed cost per Assumptions</t>
  </si>
  <si>
    <t xml:space="preserve">Total uses</t>
  </si>
  <si>
    <t xml:space="preserve">Sources of cash</t>
  </si>
  <si>
    <t xml:space="preserve">Senior secured loan at Live LTV</t>
  </si>
  <si>
    <t xml:space="preserve">Owner equity (Henry + partners)</t>
  </si>
  <si>
    <t xml:space="preserve">Total sources</t>
  </si>
  <si>
    <t xml:space="preserve">Equity as % of total uses</t>
  </si>
  <si>
    <t xml:space="preserve">First full year operating budget (2028)</t>
  </si>
  <si>
    <t xml:space="preserve">Charter revenue</t>
  </si>
  <si>
    <t xml:space="preserve">From Forecast, 2028 column</t>
  </si>
  <si>
    <t xml:space="preserve">Variable flight costs</t>
  </si>
  <si>
    <t xml:space="preserve">Crew</t>
  </si>
  <si>
    <t xml:space="preserve">Training</t>
  </si>
  <si>
    <t xml:space="preserve">Hangar, insurance, other fixed</t>
  </si>
  <si>
    <t xml:space="preserve">Management fees</t>
  </si>
  <si>
    <t xml:space="preserve">Manager's commission</t>
  </si>
  <si>
    <t xml:space="preserve">Company G&amp;A</t>
  </si>
  <si>
    <t xml:space="preserve">EBITDA</t>
  </si>
  <si>
    <t xml:space="preserve">Debt service</t>
  </si>
  <si>
    <t xml:space="preserve">Cash flow after debt service</t>
  </si>
  <si>
    <t xml:space="preserve">10-year forecast: company P&amp;L, cash flow and equity (Live scenario)</t>
  </si>
  <si>
    <t xml:space="preserve">Annual, nominal dollars. Owned jets fly on the management company's certificate until the own-certificate year.</t>
  </si>
  <si>
    <t xml:space="preserve">Line item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</si>
  <si>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</si>
  <si>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</si>
  <si>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</si>
  <si>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</si>
  <si>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</si>
  <si>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</si>
  <si>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</si>
  <si>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</si>
  <si>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</si>
  <si>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</si>
  <si>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</t>
  </si>
  <si>
    <t xml:space="preserve">Years from 2027</t>
  </si>
  <si>
    <t xml:space="preserve">On management company certificate? (1 = yes)</t>
  </si>
  <si>
    <t xml:space="preserve">Cost inflation index</t>
  </si>
  <si>
    <t xml:space="preserve">Fleet and activity</t>
  </si>
  <si>
    <t xml:space="preserve">Owned aircraft (year end)</t>
  </si>
  <si>
    <t xml:space="preserve">Owned aircraft-years in service</t>
  </si>
  <si>
    <t xml:space="preserve">Utilization factor</t>
  </si>
  <si>
    <t xml:space="preserve">Billable hours</t>
  </si>
  <si>
    <t xml:space="preserve">Flight hours incl. positioning</t>
  </si>
  <si>
    <t xml:space="preserve">Third-party managed aircraft (year end)</t>
  </si>
  <si>
    <t xml:space="preserve">Third-party managed aircraft (average)</t>
  </si>
  <si>
    <t xml:space="preserve">Revenue</t>
  </si>
  <si>
    <t xml:space="preserve">Overflow / subcontract revenue</t>
  </si>
  <si>
    <t xml:space="preserve">Broker / retail charter revenue</t>
  </si>
  <si>
    <t xml:space="preserve">Third-party management margin (own certificate)</t>
  </si>
  <si>
    <t xml:space="preserve">Total revenue</t>
  </si>
  <si>
    <t xml:space="preserve">Operating costs</t>
  </si>
  <si>
    <t xml:space="preserve">Variable flight costs (fuel, maintenance, engines, APU, trip)</t>
  </si>
  <si>
    <t xml:space="preserve">Crew salaries, benefits, contract pilots</t>
  </si>
  <si>
    <t xml:space="preserve">Recurrent training</t>
  </si>
  <si>
    <t xml:space="preserve">Hangar, insurance, other fixed, contingency</t>
  </si>
  <si>
    <t xml:space="preserve">Management fees (on manager's certificate)</t>
  </si>
  <si>
    <t xml:space="preserve">Manager's charter commission</t>
  </si>
  <si>
    <t xml:space="preserve">Company G&amp;A (before own certificate)</t>
  </si>
  <si>
    <t xml:space="preserve">Own-certificate overhead</t>
  </si>
  <si>
    <t xml:space="preserve">Total operating costs</t>
  </si>
  <si>
    <t xml:space="preserve">EBITDA margin</t>
  </si>
  <si>
    <t xml:space="preserve">One-time: own-certificate startup</t>
  </si>
  <si>
    <t xml:space="preserve">Interest</t>
  </si>
  <si>
    <t xml:space="preserve">Principal repayment</t>
  </si>
  <si>
    <t xml:space="preserve">Aircraft purchases and owner equity</t>
  </si>
  <si>
    <t xml:space="preserve">Aircraft purchased</t>
  </si>
  <si>
    <t xml:space="preserve">Price per aircraft</t>
  </si>
  <si>
    <t xml:space="preserve">Aircraft purchases (total price)</t>
  </si>
  <si>
    <t xml:space="preserve">Less: new loans</t>
  </si>
  <si>
    <t xml:space="preserve">Acquisition, onboarding, refurb, training</t>
  </si>
  <si>
    <t xml:space="preserve">Company setup</t>
  </si>
  <si>
    <t xml:space="preserve">Equity needed for purchases</t>
  </si>
  <si>
    <t xml:space="preserve">Beginning cash</t>
  </si>
  <si>
    <t xml:space="preserve">Minimum cash reserve</t>
  </si>
  <si>
    <t xml:space="preserve">Owner equity contributed</t>
  </si>
  <si>
    <t xml:space="preserve">Ending cash</t>
  </si>
  <si>
    <t xml:space="preserve">Cumulative owner equity</t>
  </si>
  <si>
    <t xml:space="preserve">Balance sheet view (year end)</t>
  </si>
  <si>
    <t xml:space="preserve">Fleet market value</t>
  </si>
  <si>
    <t xml:space="preserve">Debt outstanding</t>
  </si>
  <si>
    <t xml:space="preserve">Net asset value (fleet + cash - debt)</t>
  </si>
  <si>
    <t xml:space="preserve">Loan-to-value on fleet</t>
  </si>
  <si>
    <t xml:space="preserve">Memo: illustrative owner tax effect (not in cash flow; consult a CPA)</t>
  </si>
  <si>
    <t xml:space="preserve">Tax depreciation (bonus in purchase year)</t>
  </si>
  <si>
    <t xml:space="preserve">Taxable income (loss) passed to owners</t>
  </si>
  <si>
    <t xml:space="preserve">Tax saved (owed) at owner's rate, if losses are usable</t>
  </si>
  <si>
    <t xml:space="preserve">Bonus depreciation is recaptured as ordinary income when aircraft are sold at exit. Losses may be limited by passive-activity and at-risk rules unless Henry materially participates.</t>
  </si>
  <si>
    <t xml:space="preserve">Equity cash flows for IRR</t>
  </si>
  <si>
    <t xml:space="preserve">Exit year flag</t>
  </si>
  <si>
    <t xml:space="preserve">Owner cash flow (contributions negative, exit proceeds positive)</t>
  </si>
  <si>
    <t xml:space="preserve">Fleet plan by scenario</t>
  </si>
  <si>
    <t xml:space="preserve">Aircraft counts at year end. Owned = financed Latitudes. Third-party = other owners' jets managed on your certificate (only counts once you hold one).</t>
  </si>
  <si>
    <t xml:space="preserve">Item</t>
  </si>
  <si>
    <t xml:space="preserve">Live (selected scenario)</t>
  </si>
  <si>
    <t xml:space="preserve">Unit economics: one Latitude, mature year, on management company certificate</t>
  </si>
  <si>
    <t xml:space="preserve">Today's dollars, no inflation. Shows whether a single financed jet carries itself.</t>
  </si>
  <si>
    <t xml:space="preserve">Blended rate per billable hour</t>
  </si>
  <si>
    <t xml:space="preserve">Less manager's commission</t>
  </si>
  <si>
    <t xml:space="preserve">Net charter revenue to owner</t>
  </si>
  <si>
    <t xml:space="preserve">Flight hours incl. unpaid positioning</t>
  </si>
  <si>
    <t xml:space="preserve">Variable cost per flight hour</t>
  </si>
  <si>
    <t xml:space="preserve">Variable costs</t>
  </si>
  <si>
    <t xml:space="preserve">Crew salaries and benefits</t>
  </si>
  <si>
    <t xml:space="preserve">Hangar</t>
  </si>
  <si>
    <t xml:space="preserve">Insurance</t>
  </si>
  <si>
    <t xml:space="preserve">Management fee</t>
  </si>
  <si>
    <t xml:space="preserve">Other fixed</t>
  </si>
  <si>
    <t xml:space="preserve">Contingency</t>
  </si>
  <si>
    <t xml:space="preserve">Total fixed costs</t>
  </si>
  <si>
    <t xml:space="preserve">EBITDA (operating cash flow before debt)</t>
  </si>
  <si>
    <t xml:space="preserve">Loan amount</t>
  </si>
  <si>
    <t xml:space="preserve">Annual debt service</t>
  </si>
  <si>
    <t xml:space="preserve">Of which: first-year interest</t>
  </si>
  <si>
    <t xml:space="preserve">First-year decline in aircraft value</t>
  </si>
  <si>
    <t xml:space="preserve">Economic profit (EBITDA - interest - value decline)</t>
  </si>
  <si>
    <t xml:space="preserve">Contribution per billable hour</t>
  </si>
  <si>
    <t xml:space="preserve">Breakeven billable hours (EBITDA = 0)</t>
  </si>
  <si>
    <t xml:space="preserve">Breakeven billable hours incl. debt service</t>
  </si>
  <si>
    <t xml:space="preserve">Cash reserve to hold</t>
  </si>
  <si>
    <t xml:space="preserve">Sensitivity: Live scenario, cash flow after debt service by billable hours</t>
  </si>
  <si>
    <t xml:space="preserve">Cash after debt</t>
  </si>
  <si>
    <t xml:space="preserve">Per-hour margin</t>
  </si>
  <si>
    <t xml:space="preserve">Financing scenarios: first aircraft, Live scenario</t>
  </si>
  <si>
    <t xml:space="preserve">How leverage changes cash needed and monthly cash flow. Change the LTV row (blue) to test other structures.</t>
  </si>
  <si>
    <t xml:space="preserve">Scenario 1</t>
  </si>
  <si>
    <t xml:space="preserve">Scenario 2</t>
  </si>
  <si>
    <t xml:space="preserve">Scenario 3</t>
  </si>
  <si>
    <t xml:space="preserve">Scenario 4</t>
  </si>
  <si>
    <t xml:space="preserve">Scenario 5</t>
  </si>
  <si>
    <t xml:space="preserve">Scenario 6</t>
  </si>
  <si>
    <t xml:space="preserve">Loan-to-value</t>
  </si>
  <si>
    <t xml:space="preserve">Loan</t>
  </si>
  <si>
    <t xml:space="preserve">Down payment</t>
  </si>
  <si>
    <t xml:space="preserve">Acquisition, onboarding and setup costs</t>
  </si>
  <si>
    <t xml:space="preserve">Cash reserve</t>
  </si>
  <si>
    <t xml:space="preserve">Total equity needed to launch</t>
  </si>
  <si>
    <t xml:space="preserve">Monthly loan payment</t>
  </si>
  <si>
    <t xml:space="preserve">Mature-year EBITDA (Unit Economics, Live)</t>
  </si>
  <si>
    <t xml:space="preserve">Debt service coverage (EBITDA / debt service)</t>
  </si>
  <si>
    <t xml:space="preserve">Cash-on-cash return</t>
  </si>
  <si>
    <t xml:space="preserve">Lender reality check</t>
  </si>
  <si>
    <t xml:space="preserve">Credit-based jet loans typically need 15-20% down (80-85% LTV); asset-based loans 30-40% down (AOPA via flycraft.com).</t>
  </si>
  <si>
    <t xml:space="preserve">85-90% leverage usually means a personal guarantee, strong outside liquidity, or a second-lien / seller note on top of the senior loan.</t>
  </si>
  <si>
    <t xml:space="preserve">Lenders want DSCR of about 1.25x on the business alone, or will underwrite Henry's personal income and liquidity instead.</t>
  </si>
  <si>
    <t xml:space="preserve">Cash flow after debt service: billable hours (rows) by LTV (columns)</t>
  </si>
  <si>
    <t xml:space="preserve">Debt and aircraft value schedule by owned aircraft</t>
  </si>
  <si>
    <t xml:space="preserve">Each owned aircraft gets its own loan at the Live LTV and rate. Payments start in the purchase year (conservative).</t>
  </si>
  <si>
    <t xml:space="preserve">Aircraft #1</t>
  </si>
  <si>
    <t xml:space="preserve">Purchase year</t>
  </si>
  <si>
    <t xml:space="preserve">Price paid</t>
  </si>
  <si>
    <t xml:space="preserve">Annual payment</t>
  </si>
  <si>
    <t xml:space="preserve">Beginning balance</t>
  </si>
  <si>
    <t xml:space="preserve">Payment</t>
  </si>
  <si>
    <t xml:space="preserve">Principal</t>
  </si>
  <si>
    <t xml:space="preserve">Ending balance</t>
  </si>
  <si>
    <t xml:space="preserve">Market value (year end)</t>
  </si>
  <si>
    <t xml:space="preserve">Aircraft #2</t>
  </si>
  <si>
    <t xml:space="preserve">Aircraft #3</t>
  </si>
  <si>
    <t xml:space="preserve">Aircraft #4</t>
  </si>
  <si>
    <t xml:space="preserve">Aircraft #5</t>
  </si>
  <si>
    <t xml:space="preserve">Aircraft #6</t>
  </si>
  <si>
    <t xml:space="preserve">Aircraft #7</t>
  </si>
  <si>
    <t xml:space="preserve">Fleet totals</t>
  </si>
  <si>
    <t xml:space="preserve">Total interest</t>
  </si>
  <si>
    <t xml:space="preserve">Total principal</t>
  </si>
  <si>
    <t xml:space="preserve">Total debt outstanding</t>
  </si>
  <si>
    <t xml:space="preserve">Total fleet market value</t>
  </si>
  <si>
    <t xml:space="preserve">Exit valuation (Live scenario)</t>
  </si>
  <si>
    <t xml:space="preserve">Fleet sold at market, debt repaid, management platform sold at an EBITDA multiple.</t>
  </si>
  <si>
    <t xml:space="preserve">Debt Schedule, year-end market value</t>
  </si>
  <si>
    <t xml:space="preserve">Less selling costs</t>
  </si>
  <si>
    <t xml:space="preserve">Third-party management margin in exit year</t>
  </si>
  <si>
    <t xml:space="preserve">Recurring platform earnings</t>
  </si>
  <si>
    <t xml:space="preserve">Platform value (margin x multiple)</t>
  </si>
  <si>
    <t xml:space="preserve">Buyers pay for managed fleet and certificate</t>
  </si>
  <si>
    <t xml:space="preserve">Enterprise value</t>
  </si>
  <si>
    <t xml:space="preserve">Less debt outstanding</t>
  </si>
  <si>
    <t xml:space="preserve">Plus cash on hand</t>
  </si>
  <si>
    <t xml:space="preserve">Equity value at exit (before tax)</t>
  </si>
  <si>
    <t xml:space="preserve">Less illustrative tax on depreciation recapture</t>
  </si>
  <si>
    <t xml:space="preserve">Set to zero here: depends on Henry's tax position. See Forecast memo and talk to a CPA.</t>
  </si>
  <si>
    <t xml:space="preserve">Net exit proceeds to owners</t>
  </si>
  <si>
    <t xml:space="preserve">Total owner equity contributed</t>
  </si>
  <si>
    <t xml:space="preserve">Multiple on invested equity (MOIC)</t>
  </si>
  <si>
    <t xml:space="preserve">Ignores the tax memo; including usable tax losses would raise it.</t>
  </si>
  <si>
    <t xml:space="preserve">Peak cumulative equity</t>
  </si>
  <si>
    <t xml:space="preserve">Cash Henry and partners must be able to fund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</si>
</sst>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;\(#,##0\);\-"/>
    <numFmt numFmtId="167" formatCode="0.0\x"/>
    <numFmt numFmtId="168" formatCode="0.0%;\(0.0%\);\-"/>
    <numFmt numFmtId="169" formatCode="\$#,##0.00"/>
    <numFmt numFmtId="170" formatCode="0"/>
    <numFmt numFmtId="171" formatCode="0.000"/>
    <numFmt numFmtId="172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4" t="str">
        <f aca="false">"Scenario shown: "&amp;Assumptions!$D$3</f>
        <v>Scenario shown: Base</v>
      </c>
      <c r="B3" s="2"/>
      <c r="C3" s="2"/>
      <c r="D3" s="2"/>
    </row>
    <row r="4" customFormat="false" ht="15" hidden="false" customHeight="false" outlineLevel="0" collapsed="false">
      <c r="A4" s="2"/>
      <c r="B4" s="2"/>
      <c r="C4" s="2"/>
      <c r="D4" s="2"/>
    </row>
    <row r="5" customFormat="false" ht="15" hidden="false" customHeight="false" outlineLevel="0" collapsed="false">
      <c r="A5" s="5" t="s">
        <v>2</v>
      </c>
      <c r="B5" s="6"/>
      <c r="C5" s="6" t="s">
        <v>3</v>
      </c>
      <c r="D5" s="6" t="s">
        <v>4</v>
      </c>
    </row>
    <row r="6" customFormat="false" ht="15" hidden="false" customHeight="false" outlineLevel="0" collapsed="false">
      <c r="A6" s="7" t="s">
        <v>5</v>
      </c>
      <c r="B6" s="2"/>
      <c r="C6" s="8" t="n">
        <f aca="false">Assumptions!$F$7</f>
        <v>13500000</v>
      </c>
      <c r="D6" s="3"/>
    </row>
    <row r="7" customFormat="false" ht="15" hidden="false" customHeight="false" outlineLevel="0" collapsed="false">
      <c r="A7" s="7" t="s">
        <v>6</v>
      </c>
      <c r="B7" s="2"/>
      <c r="C7" s="8" t="n">
        <f aca="false">'Startup Budget'!C17</f>
        <v>3968625</v>
      </c>
      <c r="D7" s="3" t="s">
        <v>7</v>
      </c>
    </row>
    <row r="8" customFormat="false" ht="15" hidden="false" customHeight="false" outlineLevel="0" collapsed="false">
      <c r="A8" s="7" t="s">
        <v>8</v>
      </c>
      <c r="B8" s="2"/>
      <c r="C8" s="8" t="n">
        <f aca="false">'Startup Budget'!C16</f>
        <v>10800000</v>
      </c>
      <c r="D8" s="3"/>
    </row>
    <row r="9" customFormat="false" ht="15" hidden="false" customHeight="false" outlineLevel="0" collapsed="false">
      <c r="A9" s="7" t="s">
        <v>9</v>
      </c>
      <c r="B9" s="2"/>
      <c r="C9" s="8" t="n">
        <f aca="false">'Unit Economics'!F25</f>
        <v>509050</v>
      </c>
      <c r="D9" s="3" t="s">
        <v>10</v>
      </c>
    </row>
    <row r="10" customFormat="false" ht="15" hidden="false" customHeight="false" outlineLevel="0" collapsed="false">
      <c r="A10" s="7" t="s">
        <v>11</v>
      </c>
      <c r="B10" s="2"/>
      <c r="C10" s="8" t="n">
        <f aca="false">-'Unit Economics'!F29</f>
        <v>1204574.22936194</v>
      </c>
      <c r="D10" s="3"/>
    </row>
    <row r="11" customFormat="false" ht="15" hidden="false" customHeight="false" outlineLevel="0" collapsed="false">
      <c r="A11" s="7" t="s">
        <v>12</v>
      </c>
      <c r="B11" s="2"/>
      <c r="C11" s="8" t="n">
        <f aca="false">'Unit Economics'!F30</f>
        <v>-695524.229361937</v>
      </c>
      <c r="D11" s="3" t="s">
        <v>13</v>
      </c>
    </row>
    <row r="12" customFormat="false" ht="15" hidden="false" customHeight="false" outlineLevel="0" collapsed="false">
      <c r="A12" s="7" t="s">
        <v>14</v>
      </c>
      <c r="B12" s="2"/>
      <c r="C12" s="9" t="n">
        <f aca="false">'Unit Economics'!F36</f>
        <v>425.098780278303</v>
      </c>
      <c r="D12" s="3"/>
    </row>
    <row r="13" customFormat="false" ht="15" hidden="false" customHeight="false" outlineLevel="0" collapsed="false">
      <c r="A13" s="7" t="s">
        <v>15</v>
      </c>
      <c r="B13" s="2"/>
      <c r="C13" s="9" t="n">
        <f aca="false">'Unit Economics'!F37</f>
        <v>838.970702409187</v>
      </c>
      <c r="D13" s="3" t="s">
        <v>16</v>
      </c>
    </row>
    <row r="14" customFormat="false" ht="15" hidden="false" customHeight="false" outlineLevel="0" collapsed="false">
      <c r="A14" s="7" t="s">
        <v>17</v>
      </c>
      <c r="B14" s="2"/>
      <c r="C14" s="8" t="n">
        <f aca="false">Exit!C20</f>
        <v>17667996.4067273</v>
      </c>
      <c r="D14" s="3" t="s">
        <v>18</v>
      </c>
    </row>
    <row r="15" customFormat="false" ht="15" hidden="false" customHeight="false" outlineLevel="0" collapsed="false">
      <c r="A15" s="7" t="s">
        <v>19</v>
      </c>
      <c r="B15" s="2"/>
      <c r="C15" s="8" t="n">
        <f aca="false">Exit!C15</f>
        <v>31694343.1927229</v>
      </c>
      <c r="D15" s="3"/>
    </row>
    <row r="16" customFormat="false" ht="15" hidden="false" customHeight="false" outlineLevel="0" collapsed="false">
      <c r="A16" s="7" t="s">
        <v>20</v>
      </c>
      <c r="B16" s="2"/>
      <c r="C16" s="10" t="n">
        <f aca="false">Exit!C18</f>
        <v>1.7938844033642</v>
      </c>
      <c r="D16" s="3"/>
    </row>
    <row r="17" customFormat="false" ht="15" hidden="false" customHeight="false" outlineLevel="0" collapsed="false">
      <c r="A17" s="7" t="s">
        <v>21</v>
      </c>
      <c r="B17" s="2"/>
      <c r="C17" s="11" t="n">
        <f aca="false">Exit!C19</f>
        <v>0.0940019775497642</v>
      </c>
      <c r="D17" s="3" t="s">
        <v>22</v>
      </c>
    </row>
    <row r="18" customFormat="false" ht="15" hidden="false" customHeight="false" outlineLevel="0" collapsed="false">
      <c r="A18" s="7" t="s">
        <v>23</v>
      </c>
      <c r="B18" s="2"/>
      <c r="C18" s="9" t="n">
        <f aca="false">INDEX(Forecast!$C$11:$L$11,MATCH(Assumptions!$F$60,Forecast!$C$5:$L$5,0))</f>
        <v>3</v>
      </c>
      <c r="D18" s="3"/>
    </row>
    <row r="19" customFormat="false" ht="15" hidden="false" customHeight="false" outlineLevel="0" collapsed="false">
      <c r="A19" s="7" t="s">
        <v>24</v>
      </c>
      <c r="B19" s="2"/>
      <c r="C19" s="9" t="n">
        <f aca="false">INDEX(Forecast!$C$16:$L$16,MATCH(Assumptions!$F$60,Forecast!$C$5:$L$5,0))</f>
        <v>12</v>
      </c>
      <c r="D19" s="3"/>
    </row>
    <row r="20" customFormat="false" ht="15" hidden="false" customHeight="false" outlineLevel="0" collapsed="false">
      <c r="A20" s="7" t="s">
        <v>25</v>
      </c>
      <c r="B20" s="2"/>
      <c r="C20" s="8" t="n">
        <f aca="false">INDEX(Forecast!$C$23:$L$23,MATCH(Assumptions!$F$60,Forecast!$C$5:$L$5,0))</f>
        <v>21202564.2372252</v>
      </c>
      <c r="D20" s="3"/>
    </row>
    <row r="21" customFormat="false" ht="15" hidden="false" customHeight="false" outlineLevel="0" collapsed="false">
      <c r="A21" s="7" t="s">
        <v>26</v>
      </c>
      <c r="B21" s="2"/>
      <c r="C21" s="8" t="n">
        <f aca="false">INDEX(Forecast!$C$36:$L$36,MATCH(Assumptions!$F$60,Forecast!$C$5:$L$5,0))</f>
        <v>5580710.62321525</v>
      </c>
      <c r="D21" s="3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12" t="s">
        <v>27</v>
      </c>
      <c r="B23" s="2"/>
      <c r="C23" s="2"/>
      <c r="D23" s="2"/>
    </row>
    <row r="24" customFormat="false" ht="15" hidden="false" customHeight="false" outlineLevel="0" collapsed="false">
      <c r="A24" s="13" t="s">
        <v>28</v>
      </c>
      <c r="B24" s="2"/>
      <c r="C24" s="2"/>
      <c r="D24" s="2"/>
    </row>
    <row r="25" customFormat="false" ht="15" hidden="false" customHeight="false" outlineLevel="0" collapsed="false">
      <c r="A25" s="7" t="s">
        <v>29</v>
      </c>
      <c r="B25" s="2"/>
      <c r="C25" s="2"/>
      <c r="D25" s="2"/>
    </row>
    <row r="26" customFormat="false" ht="15" hidden="false" customHeight="false" outlineLevel="0" collapsed="false">
      <c r="A26" s="4" t="s">
        <v>30</v>
      </c>
      <c r="B26" s="2"/>
      <c r="C26" s="2"/>
      <c r="D26" s="2"/>
    </row>
    <row r="27" customFormat="false" ht="15" hidden="false" customHeight="false" outlineLevel="0" collapsed="false">
      <c r="A27" s="14" t="s">
        <v>31</v>
      </c>
      <c r="B27" s="2"/>
      <c r="C27" s="2"/>
      <c r="D27" s="2"/>
    </row>
    <row r="28" customFormat="false" ht="15" hidden="false" customHeight="false" outlineLevel="0" collapsed="false">
      <c r="A28" s="3" t="s">
        <v>32</v>
      </c>
      <c r="B28" s="2"/>
      <c r="C28" s="2"/>
      <c r="D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33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2" t="s">
        <v>35</v>
      </c>
      <c r="B3" s="2"/>
      <c r="C3" s="15" t="n">
        <v>2</v>
      </c>
      <c r="D3" s="7" t="str">
        <f aca="false">INDEX({"Downside","Base","Upside"},$C$3)</f>
        <v>Base</v>
      </c>
      <c r="E3" s="2"/>
      <c r="F3" s="2"/>
      <c r="G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5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</row>
    <row r="6" customFormat="false" ht="15" hidden="false" customHeight="false" outlineLevel="0" collapsed="false">
      <c r="A6" s="16" t="s">
        <v>43</v>
      </c>
      <c r="B6" s="17"/>
      <c r="C6" s="17"/>
      <c r="D6" s="17"/>
      <c r="E6" s="17"/>
      <c r="F6" s="17"/>
      <c r="G6" s="17"/>
    </row>
    <row r="7" customFormat="false" ht="15" hidden="false" customHeight="false" outlineLevel="0" collapsed="false">
      <c r="A7" s="7" t="s">
        <v>44</v>
      </c>
      <c r="B7" s="3" t="s">
        <v>45</v>
      </c>
      <c r="C7" s="18" t="n">
        <v>15000000</v>
      </c>
      <c r="D7" s="18" t="n">
        <v>13500000</v>
      </c>
      <c r="E7" s="18" t="n">
        <v>12500000</v>
      </c>
      <c r="F7" s="19" t="n">
        <f aca="false">CHOOSE($C$3,C7,D7,E7)</f>
        <v>13500000</v>
      </c>
      <c r="G7" s="3" t="s">
        <v>46</v>
      </c>
    </row>
    <row r="8" customFormat="false" ht="15" hidden="false" customHeight="false" outlineLevel="0" collapsed="false">
      <c r="A8" s="7" t="s">
        <v>47</v>
      </c>
      <c r="B8" s="3" t="s">
        <v>48</v>
      </c>
      <c r="C8" s="20" t="n">
        <v>0</v>
      </c>
      <c r="D8" s="20" t="n">
        <v>0</v>
      </c>
      <c r="E8" s="20" t="n">
        <v>0</v>
      </c>
      <c r="F8" s="21" t="n">
        <f aca="false">CHOOSE($C$3,C8,D8,E8)</f>
        <v>0</v>
      </c>
      <c r="G8" s="3" t="s">
        <v>49</v>
      </c>
    </row>
    <row r="9" customFormat="false" ht="15" hidden="false" customHeight="false" outlineLevel="0" collapsed="false">
      <c r="A9" s="7" t="s">
        <v>50</v>
      </c>
      <c r="B9" s="3" t="s">
        <v>45</v>
      </c>
      <c r="C9" s="22" t="n">
        <v>85000</v>
      </c>
      <c r="D9" s="22" t="n">
        <v>75000</v>
      </c>
      <c r="E9" s="22" t="n">
        <v>60000</v>
      </c>
      <c r="F9" s="19" t="n">
        <f aca="false">CHOOSE($C$3,C9,D9,E9)</f>
        <v>75000</v>
      </c>
      <c r="G9" s="3" t="s">
        <v>51</v>
      </c>
    </row>
    <row r="10" customFormat="false" ht="15" hidden="false" customHeight="false" outlineLevel="0" collapsed="false">
      <c r="A10" s="7" t="s">
        <v>52</v>
      </c>
      <c r="B10" s="3" t="s">
        <v>45</v>
      </c>
      <c r="C10" s="22" t="n">
        <v>60000</v>
      </c>
      <c r="D10" s="22" t="n">
        <v>50000</v>
      </c>
      <c r="E10" s="22" t="n">
        <v>40000</v>
      </c>
      <c r="F10" s="19" t="n">
        <f aca="false">CHOOSE($C$3,C10,D10,E10)</f>
        <v>50000</v>
      </c>
      <c r="G10" s="3" t="s">
        <v>53</v>
      </c>
    </row>
    <row r="11" customFormat="false" ht="15" hidden="false" customHeight="false" outlineLevel="0" collapsed="false">
      <c r="A11" s="7" t="s">
        <v>54</v>
      </c>
      <c r="B11" s="3" t="s">
        <v>45</v>
      </c>
      <c r="C11" s="22" t="n">
        <v>200000</v>
      </c>
      <c r="D11" s="22" t="n">
        <v>150000</v>
      </c>
      <c r="E11" s="22" t="n">
        <v>100000</v>
      </c>
      <c r="F11" s="19" t="n">
        <f aca="false">CHOOSE($C$3,C11,D11,E11)</f>
        <v>150000</v>
      </c>
      <c r="G11" s="3" t="s">
        <v>55</v>
      </c>
    </row>
    <row r="12" customFormat="false" ht="15" hidden="false" customHeight="false" outlineLevel="0" collapsed="false">
      <c r="A12" s="7" t="s">
        <v>56</v>
      </c>
      <c r="B12" s="3" t="s">
        <v>45</v>
      </c>
      <c r="C12" s="22" t="n">
        <v>350000</v>
      </c>
      <c r="D12" s="22" t="n">
        <v>250000</v>
      </c>
      <c r="E12" s="22" t="n">
        <v>150000</v>
      </c>
      <c r="F12" s="19" t="n">
        <f aca="false">CHOOSE($C$3,C12,D12,E12)</f>
        <v>250000</v>
      </c>
      <c r="G12" s="3" t="s">
        <v>57</v>
      </c>
    </row>
    <row r="13" customFormat="false" ht="15" hidden="false" customHeight="false" outlineLevel="0" collapsed="false">
      <c r="A13" s="7" t="s">
        <v>58</v>
      </c>
      <c r="B13" s="3" t="s">
        <v>45</v>
      </c>
      <c r="C13" s="22" t="n">
        <v>100000</v>
      </c>
      <c r="D13" s="22" t="n">
        <v>75000</v>
      </c>
      <c r="E13" s="22" t="n">
        <v>50000</v>
      </c>
      <c r="F13" s="19" t="n">
        <f aca="false">CHOOSE($C$3,C13,D13,E13)</f>
        <v>75000</v>
      </c>
      <c r="G13" s="3" t="s">
        <v>59</v>
      </c>
    </row>
    <row r="14" customFormat="false" ht="15" hidden="false" customHeight="false" outlineLevel="0" collapsed="false">
      <c r="A14" s="7" t="s">
        <v>60</v>
      </c>
      <c r="B14" s="3" t="s">
        <v>45</v>
      </c>
      <c r="C14" s="22" t="n">
        <v>75000</v>
      </c>
      <c r="D14" s="22" t="n">
        <v>50000</v>
      </c>
      <c r="E14" s="22" t="n">
        <v>35000</v>
      </c>
      <c r="F14" s="19" t="n">
        <f aca="false">CHOOSE($C$3,C14,D14,E14)</f>
        <v>50000</v>
      </c>
      <c r="G14" s="3" t="s">
        <v>61</v>
      </c>
    </row>
    <row r="15" customFormat="false" ht="15" hidden="false" customHeight="false" outlineLevel="0" collapsed="false">
      <c r="A15" s="16" t="s">
        <v>62</v>
      </c>
      <c r="B15" s="17"/>
      <c r="C15" s="17"/>
      <c r="D15" s="17"/>
      <c r="E15" s="17"/>
      <c r="F15" s="17"/>
      <c r="G15" s="17"/>
    </row>
    <row r="16" customFormat="false" ht="15" hidden="false" customHeight="false" outlineLevel="0" collapsed="false">
      <c r="A16" s="7" t="s">
        <v>63</v>
      </c>
      <c r="B16" s="3" t="s">
        <v>48</v>
      </c>
      <c r="C16" s="23" t="n">
        <v>0.8</v>
      </c>
      <c r="D16" s="23" t="n">
        <v>0.8</v>
      </c>
      <c r="E16" s="23" t="n">
        <v>0.8</v>
      </c>
      <c r="F16" s="21" t="n">
        <f aca="false">CHOOSE($C$3,C16,D16,E16)</f>
        <v>0.8</v>
      </c>
      <c r="G16" s="3" t="s">
        <v>64</v>
      </c>
    </row>
    <row r="17" customFormat="false" ht="15" hidden="false" customHeight="false" outlineLevel="0" collapsed="false">
      <c r="A17" s="7" t="s">
        <v>65</v>
      </c>
      <c r="B17" s="3" t="s">
        <v>48</v>
      </c>
      <c r="C17" s="20" t="n">
        <v>0.08</v>
      </c>
      <c r="D17" s="20" t="n">
        <v>0.0725</v>
      </c>
      <c r="E17" s="20" t="n">
        <v>0.0675</v>
      </c>
      <c r="F17" s="21" t="n">
        <f aca="false">CHOOSE($C$3,C17,D17,E17)</f>
        <v>0.0725</v>
      </c>
      <c r="G17" s="3" t="s">
        <v>66</v>
      </c>
    </row>
    <row r="18" customFormat="false" ht="15" hidden="false" customHeight="false" outlineLevel="0" collapsed="false">
      <c r="A18" s="7" t="s">
        <v>67</v>
      </c>
      <c r="B18" s="3" t="s">
        <v>68</v>
      </c>
      <c r="C18" s="24" t="n">
        <v>15</v>
      </c>
      <c r="D18" s="24" t="n">
        <v>15</v>
      </c>
      <c r="E18" s="24" t="n">
        <v>20</v>
      </c>
      <c r="F18" s="25" t="n">
        <f aca="false">CHOOSE($C$3,C18,D18,E18)</f>
        <v>15</v>
      </c>
      <c r="G18" s="3" t="s">
        <v>69</v>
      </c>
    </row>
    <row r="19" customFormat="false" ht="15" hidden="false" customHeight="false" outlineLevel="0" collapsed="false">
      <c r="A19" s="16" t="s">
        <v>70</v>
      </c>
      <c r="B19" s="17"/>
      <c r="C19" s="17"/>
      <c r="D19" s="17"/>
      <c r="E19" s="17"/>
      <c r="F19" s="17"/>
      <c r="G19" s="17"/>
    </row>
    <row r="20" customFormat="false" ht="15" hidden="false" customHeight="false" outlineLevel="0" collapsed="false">
      <c r="A20" s="7" t="s">
        <v>71</v>
      </c>
      <c r="B20" s="3" t="s">
        <v>72</v>
      </c>
      <c r="C20" s="26" t="n">
        <v>500</v>
      </c>
      <c r="D20" s="26" t="n">
        <v>600</v>
      </c>
      <c r="E20" s="26" t="n">
        <v>700</v>
      </c>
      <c r="F20" s="25" t="n">
        <f aca="false">CHOOSE($C$3,C20,D20,E20)</f>
        <v>600</v>
      </c>
      <c r="G20" s="3" t="s">
        <v>73</v>
      </c>
    </row>
    <row r="21" customFormat="false" ht="15" hidden="false" customHeight="false" outlineLevel="0" collapsed="false">
      <c r="A21" s="7" t="s">
        <v>74</v>
      </c>
      <c r="B21" s="3" t="s">
        <v>75</v>
      </c>
      <c r="C21" s="24" t="n">
        <v>5</v>
      </c>
      <c r="D21" s="24" t="n">
        <v>6</v>
      </c>
      <c r="E21" s="24" t="n">
        <v>6</v>
      </c>
      <c r="F21" s="25" t="n">
        <f aca="false">CHOOSE($C$3,C21,D21,E21)</f>
        <v>6</v>
      </c>
      <c r="G21" s="3" t="s">
        <v>76</v>
      </c>
    </row>
    <row r="22" customFormat="false" ht="15" hidden="false" customHeight="false" outlineLevel="0" collapsed="false">
      <c r="A22" s="7" t="s">
        <v>77</v>
      </c>
      <c r="B22" s="3" t="s">
        <v>48</v>
      </c>
      <c r="C22" s="20" t="n">
        <v>0.5</v>
      </c>
      <c r="D22" s="20" t="n">
        <v>0.6</v>
      </c>
      <c r="E22" s="20" t="n">
        <v>0.7</v>
      </c>
      <c r="F22" s="21" t="n">
        <f aca="false">CHOOSE($C$3,C22,D22,E22)</f>
        <v>0.6</v>
      </c>
      <c r="G22" s="3" t="s">
        <v>78</v>
      </c>
    </row>
    <row r="23" customFormat="false" ht="15" hidden="false" customHeight="false" outlineLevel="0" collapsed="false">
      <c r="A23" s="7" t="s">
        <v>79</v>
      </c>
      <c r="B23" s="3" t="s">
        <v>48</v>
      </c>
      <c r="C23" s="20" t="n">
        <v>0.8</v>
      </c>
      <c r="D23" s="20" t="n">
        <v>0.9</v>
      </c>
      <c r="E23" s="20" t="n">
        <v>1</v>
      </c>
      <c r="F23" s="21" t="n">
        <f aca="false">CHOOSE($C$3,C23,D23,E23)</f>
        <v>0.9</v>
      </c>
      <c r="G23" s="3"/>
    </row>
    <row r="24" customFormat="false" ht="15" hidden="false" customHeight="false" outlineLevel="0" collapsed="false">
      <c r="A24" s="7" t="s">
        <v>80</v>
      </c>
      <c r="B24" s="3" t="s">
        <v>48</v>
      </c>
      <c r="C24" s="23" t="n">
        <v>0.4</v>
      </c>
      <c r="D24" s="23" t="n">
        <v>0.5</v>
      </c>
      <c r="E24" s="23" t="n">
        <v>0.6</v>
      </c>
      <c r="F24" s="21" t="n">
        <f aca="false">CHOOSE($C$3,C24,D24,E24)</f>
        <v>0.5</v>
      </c>
      <c r="G24" s="3" t="s">
        <v>81</v>
      </c>
    </row>
    <row r="25" customFormat="false" ht="15" hidden="false" customHeight="false" outlineLevel="0" collapsed="false">
      <c r="A25" s="7" t="s">
        <v>82</v>
      </c>
      <c r="B25" s="3" t="s">
        <v>83</v>
      </c>
      <c r="C25" s="18" t="n">
        <v>6750</v>
      </c>
      <c r="D25" s="18" t="n">
        <v>7000</v>
      </c>
      <c r="E25" s="18" t="n">
        <v>7250</v>
      </c>
      <c r="F25" s="19" t="n">
        <f aca="false">CHOOSE($C$3,C25,D25,E25)</f>
        <v>7000</v>
      </c>
      <c r="G25" s="3" t="s">
        <v>84</v>
      </c>
    </row>
    <row r="26" customFormat="false" ht="15" hidden="false" customHeight="false" outlineLevel="0" collapsed="false">
      <c r="A26" s="7" t="s">
        <v>85</v>
      </c>
      <c r="B26" s="3" t="s">
        <v>83</v>
      </c>
      <c r="C26" s="18" t="n">
        <v>8000</v>
      </c>
      <c r="D26" s="18" t="n">
        <v>8500</v>
      </c>
      <c r="E26" s="18" t="n">
        <v>9000</v>
      </c>
      <c r="F26" s="19" t="n">
        <f aca="false">CHOOSE($C$3,C26,D26,E26)</f>
        <v>8500</v>
      </c>
      <c r="G26" s="3" t="s">
        <v>86</v>
      </c>
    </row>
    <row r="27" customFormat="false" ht="15" hidden="false" customHeight="false" outlineLevel="0" collapsed="false">
      <c r="A27" s="7" t="s">
        <v>87</v>
      </c>
      <c r="B27" s="3" t="s">
        <v>48</v>
      </c>
      <c r="C27" s="20" t="n">
        <v>0.02</v>
      </c>
      <c r="D27" s="20" t="n">
        <v>0.03</v>
      </c>
      <c r="E27" s="20" t="n">
        <v>0.035</v>
      </c>
      <c r="F27" s="21" t="n">
        <f aca="false">CHOOSE($C$3,C27,D27,E27)</f>
        <v>0.03</v>
      </c>
      <c r="G27" s="3"/>
    </row>
    <row r="28" customFormat="false" ht="15" hidden="false" customHeight="false" outlineLevel="0" collapsed="false">
      <c r="A28" s="7" t="s">
        <v>88</v>
      </c>
      <c r="B28" s="3" t="s">
        <v>48</v>
      </c>
      <c r="C28" s="20" t="n">
        <v>0.15</v>
      </c>
      <c r="D28" s="20" t="n">
        <v>0.1</v>
      </c>
      <c r="E28" s="20" t="n">
        <v>0.08</v>
      </c>
      <c r="F28" s="21" t="n">
        <f aca="false">CHOOSE($C$3,C28,D28,E28)</f>
        <v>0.1</v>
      </c>
      <c r="G28" s="3" t="s">
        <v>89</v>
      </c>
    </row>
    <row r="29" customFormat="false" ht="15" hidden="false" customHeight="false" outlineLevel="0" collapsed="false">
      <c r="A29" s="16" t="s">
        <v>90</v>
      </c>
      <c r="B29" s="17"/>
      <c r="C29" s="17"/>
      <c r="D29" s="17"/>
      <c r="E29" s="17"/>
      <c r="F29" s="17"/>
      <c r="G29" s="17"/>
    </row>
    <row r="30" customFormat="false" ht="15" hidden="false" customHeight="false" outlineLevel="0" collapsed="false">
      <c r="A30" s="7" t="s">
        <v>91</v>
      </c>
      <c r="B30" s="3" t="s">
        <v>92</v>
      </c>
      <c r="C30" s="24" t="n">
        <v>285</v>
      </c>
      <c r="D30" s="24" t="n">
        <v>270</v>
      </c>
      <c r="E30" s="24" t="n">
        <v>260</v>
      </c>
      <c r="F30" s="25" t="n">
        <f aca="false">CHOOSE($C$3,C30,D30,E30)</f>
        <v>270</v>
      </c>
      <c r="G30" s="3" t="s">
        <v>93</v>
      </c>
    </row>
    <row r="31" customFormat="false" ht="15" hidden="false" customHeight="false" outlineLevel="0" collapsed="false">
      <c r="A31" s="7" t="s">
        <v>94</v>
      </c>
      <c r="B31" s="3" t="s">
        <v>95</v>
      </c>
      <c r="C31" s="27" t="n">
        <v>7</v>
      </c>
      <c r="D31" s="27" t="n">
        <v>6.5</v>
      </c>
      <c r="E31" s="27" t="n">
        <v>6</v>
      </c>
      <c r="F31" s="28" t="n">
        <f aca="false">CHOOSE($C$3,C31,D31,E31)</f>
        <v>6.5</v>
      </c>
      <c r="G31" s="3" t="s">
        <v>96</v>
      </c>
    </row>
    <row r="32" customFormat="false" ht="15" hidden="false" customHeight="false" outlineLevel="0" collapsed="false">
      <c r="A32" s="7" t="s">
        <v>97</v>
      </c>
      <c r="B32" s="3" t="s">
        <v>83</v>
      </c>
      <c r="C32" s="22" t="n">
        <v>850</v>
      </c>
      <c r="D32" s="22" t="n">
        <v>750</v>
      </c>
      <c r="E32" s="22" t="n">
        <v>650</v>
      </c>
      <c r="F32" s="19" t="n">
        <f aca="false">CHOOSE($C$3,C32,D32,E32)</f>
        <v>750</v>
      </c>
      <c r="G32" s="3" t="s">
        <v>98</v>
      </c>
    </row>
    <row r="33" customFormat="false" ht="15" hidden="false" customHeight="false" outlineLevel="0" collapsed="false">
      <c r="A33" s="7" t="s">
        <v>99</v>
      </c>
      <c r="B33" s="3" t="s">
        <v>83</v>
      </c>
      <c r="C33" s="22" t="n">
        <v>700</v>
      </c>
      <c r="D33" s="22" t="n">
        <v>660</v>
      </c>
      <c r="E33" s="22" t="n">
        <v>620</v>
      </c>
      <c r="F33" s="19" t="n">
        <f aca="false">CHOOSE($C$3,C33,D33,E33)</f>
        <v>660</v>
      </c>
      <c r="G33" s="3" t="s">
        <v>100</v>
      </c>
    </row>
    <row r="34" customFormat="false" ht="15" hidden="false" customHeight="false" outlineLevel="0" collapsed="false">
      <c r="A34" s="7" t="s">
        <v>101</v>
      </c>
      <c r="B34" s="3" t="s">
        <v>83</v>
      </c>
      <c r="C34" s="22" t="n">
        <v>100</v>
      </c>
      <c r="D34" s="22" t="n">
        <v>80</v>
      </c>
      <c r="E34" s="22" t="n">
        <v>70</v>
      </c>
      <c r="F34" s="19" t="n">
        <f aca="false">CHOOSE($C$3,C34,D34,E34)</f>
        <v>80</v>
      </c>
      <c r="G34" s="3" t="s">
        <v>53</v>
      </c>
    </row>
    <row r="35" customFormat="false" ht="15" hidden="false" customHeight="false" outlineLevel="0" collapsed="false">
      <c r="A35" s="7" t="s">
        <v>102</v>
      </c>
      <c r="B35" s="3" t="s">
        <v>83</v>
      </c>
      <c r="C35" s="22" t="n">
        <v>500</v>
      </c>
      <c r="D35" s="22" t="n">
        <v>450</v>
      </c>
      <c r="E35" s="22" t="n">
        <v>400</v>
      </c>
      <c r="F35" s="19" t="n">
        <f aca="false">CHOOSE($C$3,C35,D35,E35)</f>
        <v>450</v>
      </c>
      <c r="G35" s="3" t="s">
        <v>103</v>
      </c>
    </row>
    <row r="36" customFormat="false" ht="15" hidden="false" customHeight="false" outlineLevel="0" collapsed="false">
      <c r="A36" s="16" t="s">
        <v>104</v>
      </c>
      <c r="B36" s="17"/>
      <c r="C36" s="17"/>
      <c r="D36" s="17"/>
      <c r="E36" s="17"/>
      <c r="F36" s="17"/>
      <c r="G36" s="17"/>
    </row>
    <row r="37" customFormat="false" ht="15" hidden="false" customHeight="false" outlineLevel="0" collapsed="false">
      <c r="A37" s="7" t="s">
        <v>105</v>
      </c>
      <c r="B37" s="3" t="s">
        <v>106</v>
      </c>
      <c r="C37" s="24" t="n">
        <v>2</v>
      </c>
      <c r="D37" s="24" t="n">
        <v>2</v>
      </c>
      <c r="E37" s="24" t="n">
        <v>2</v>
      </c>
      <c r="F37" s="25" t="n">
        <f aca="false">CHOOSE($C$3,C37,D37,E37)</f>
        <v>2</v>
      </c>
      <c r="G37" s="3" t="s">
        <v>107</v>
      </c>
    </row>
    <row r="38" customFormat="false" ht="15" hidden="false" customHeight="false" outlineLevel="0" collapsed="false">
      <c r="A38" s="7" t="s">
        <v>108</v>
      </c>
      <c r="B38" s="3" t="s">
        <v>106</v>
      </c>
      <c r="C38" s="24" t="n">
        <v>1</v>
      </c>
      <c r="D38" s="24" t="n">
        <v>1</v>
      </c>
      <c r="E38" s="24" t="n">
        <v>1</v>
      </c>
      <c r="F38" s="25" t="n">
        <f aca="false">CHOOSE($C$3,C38,D38,E38)</f>
        <v>1</v>
      </c>
      <c r="G38" s="3" t="s">
        <v>109</v>
      </c>
    </row>
    <row r="39" customFormat="false" ht="15" hidden="false" customHeight="false" outlineLevel="0" collapsed="false">
      <c r="A39" s="7" t="s">
        <v>110</v>
      </c>
      <c r="B39" s="3" t="s">
        <v>45</v>
      </c>
      <c r="C39" s="22" t="n">
        <v>190000</v>
      </c>
      <c r="D39" s="22" t="n">
        <v>175000</v>
      </c>
      <c r="E39" s="22" t="n">
        <v>165000</v>
      </c>
      <c r="F39" s="19" t="n">
        <f aca="false">CHOOSE($C$3,C39,D39,E39)</f>
        <v>175000</v>
      </c>
      <c r="G39" s="3" t="s">
        <v>111</v>
      </c>
    </row>
    <row r="40" customFormat="false" ht="15" hidden="false" customHeight="false" outlineLevel="0" collapsed="false">
      <c r="A40" s="7" t="s">
        <v>112</v>
      </c>
      <c r="B40" s="3" t="s">
        <v>45</v>
      </c>
      <c r="C40" s="22" t="n">
        <v>125000</v>
      </c>
      <c r="D40" s="22" t="n">
        <v>115000</v>
      </c>
      <c r="E40" s="22" t="n">
        <v>105000</v>
      </c>
      <c r="F40" s="19" t="n">
        <f aca="false">CHOOSE($C$3,C40,D40,E40)</f>
        <v>115000</v>
      </c>
      <c r="G40" s="3" t="s">
        <v>53</v>
      </c>
    </row>
    <row r="41" customFormat="false" ht="15" hidden="false" customHeight="false" outlineLevel="0" collapsed="false">
      <c r="A41" s="7" t="s">
        <v>113</v>
      </c>
      <c r="B41" s="3" t="s">
        <v>48</v>
      </c>
      <c r="C41" s="20" t="n">
        <v>0.28</v>
      </c>
      <c r="D41" s="20" t="n">
        <v>0.25</v>
      </c>
      <c r="E41" s="20" t="n">
        <v>0.22</v>
      </c>
      <c r="F41" s="21" t="n">
        <f aca="false">CHOOSE($C$3,C41,D41,E41)</f>
        <v>0.25</v>
      </c>
      <c r="G41" s="3" t="s">
        <v>114</v>
      </c>
    </row>
    <row r="42" customFormat="false" ht="15" hidden="false" customHeight="false" outlineLevel="0" collapsed="false">
      <c r="A42" s="7" t="s">
        <v>115</v>
      </c>
      <c r="B42" s="3" t="s">
        <v>45</v>
      </c>
      <c r="C42" s="22" t="n">
        <v>90000</v>
      </c>
      <c r="D42" s="22" t="n">
        <v>60000</v>
      </c>
      <c r="E42" s="22" t="n">
        <v>40000</v>
      </c>
      <c r="F42" s="19" t="n">
        <f aca="false">CHOOSE($C$3,C42,D42,E42)</f>
        <v>60000</v>
      </c>
      <c r="G42" s="3" t="s">
        <v>53</v>
      </c>
    </row>
    <row r="43" customFormat="false" ht="15" hidden="false" customHeight="false" outlineLevel="0" collapsed="false">
      <c r="A43" s="7" t="s">
        <v>116</v>
      </c>
      <c r="B43" s="3" t="s">
        <v>45</v>
      </c>
      <c r="C43" s="22" t="n">
        <v>40000</v>
      </c>
      <c r="D43" s="22" t="n">
        <v>35000</v>
      </c>
      <c r="E43" s="22" t="n">
        <v>30000</v>
      </c>
      <c r="F43" s="19" t="n">
        <f aca="false">CHOOSE($C$3,C43,D43,E43)</f>
        <v>35000</v>
      </c>
      <c r="G43" s="3" t="s">
        <v>117</v>
      </c>
    </row>
    <row r="44" customFormat="false" ht="15" hidden="false" customHeight="false" outlineLevel="0" collapsed="false">
      <c r="A44" s="7" t="s">
        <v>118</v>
      </c>
      <c r="B44" s="3" t="s">
        <v>45</v>
      </c>
      <c r="C44" s="22" t="n">
        <v>84000</v>
      </c>
      <c r="D44" s="22" t="n">
        <v>66000</v>
      </c>
      <c r="E44" s="22" t="n">
        <v>54000</v>
      </c>
      <c r="F44" s="19" t="n">
        <f aca="false">CHOOSE($C$3,C44,D44,E44)</f>
        <v>66000</v>
      </c>
      <c r="G44" s="3" t="s">
        <v>119</v>
      </c>
    </row>
    <row r="45" customFormat="false" ht="15" hidden="false" customHeight="false" outlineLevel="0" collapsed="false">
      <c r="A45" s="7" t="s">
        <v>120</v>
      </c>
      <c r="B45" s="3" t="s">
        <v>45</v>
      </c>
      <c r="C45" s="22" t="n">
        <v>110000</v>
      </c>
      <c r="D45" s="22" t="n">
        <v>85000</v>
      </c>
      <c r="E45" s="22" t="n">
        <v>70000</v>
      </c>
      <c r="F45" s="19" t="n">
        <f aca="false">CHOOSE($C$3,C45,D45,E45)</f>
        <v>85000</v>
      </c>
      <c r="G45" s="3" t="s">
        <v>121</v>
      </c>
    </row>
    <row r="46" customFormat="false" ht="15" hidden="false" customHeight="false" outlineLevel="0" collapsed="false">
      <c r="A46" s="7" t="s">
        <v>122</v>
      </c>
      <c r="B46" s="3" t="s">
        <v>123</v>
      </c>
      <c r="C46" s="18" t="n">
        <v>11000</v>
      </c>
      <c r="D46" s="18" t="n">
        <v>10000</v>
      </c>
      <c r="E46" s="18" t="n">
        <v>8500</v>
      </c>
      <c r="F46" s="19" t="n">
        <f aca="false">CHOOSE($C$3,C46,D46,E46)</f>
        <v>10000</v>
      </c>
      <c r="G46" s="3" t="s">
        <v>124</v>
      </c>
    </row>
    <row r="47" customFormat="false" ht="15" hidden="false" customHeight="false" outlineLevel="0" collapsed="false">
      <c r="A47" s="7" t="s">
        <v>125</v>
      </c>
      <c r="B47" s="3" t="s">
        <v>48</v>
      </c>
      <c r="C47" s="23" t="n">
        <v>0.12</v>
      </c>
      <c r="D47" s="23" t="n">
        <v>0.1</v>
      </c>
      <c r="E47" s="23" t="n">
        <v>0.08</v>
      </c>
      <c r="F47" s="21" t="n">
        <f aca="false">CHOOSE($C$3,C47,D47,E47)</f>
        <v>0.1</v>
      </c>
      <c r="G47" s="3" t="s">
        <v>126</v>
      </c>
    </row>
    <row r="48" customFormat="false" ht="15" hidden="false" customHeight="false" outlineLevel="0" collapsed="false">
      <c r="A48" s="7" t="s">
        <v>127</v>
      </c>
      <c r="B48" s="3" t="s">
        <v>45</v>
      </c>
      <c r="C48" s="22" t="n">
        <v>100000</v>
      </c>
      <c r="D48" s="22" t="n">
        <v>80000</v>
      </c>
      <c r="E48" s="22" t="n">
        <v>65000</v>
      </c>
      <c r="F48" s="19" t="n">
        <f aca="false">CHOOSE($C$3,C48,D48,E48)</f>
        <v>80000</v>
      </c>
      <c r="G48" s="3" t="s">
        <v>128</v>
      </c>
    </row>
    <row r="49" customFormat="false" ht="15" hidden="false" customHeight="false" outlineLevel="0" collapsed="false">
      <c r="A49" s="7" t="s">
        <v>129</v>
      </c>
      <c r="B49" s="3" t="s">
        <v>45</v>
      </c>
      <c r="C49" s="22" t="n">
        <v>75000</v>
      </c>
      <c r="D49" s="22" t="n">
        <v>50000</v>
      </c>
      <c r="E49" s="22" t="n">
        <v>35000</v>
      </c>
      <c r="F49" s="19" t="n">
        <f aca="false">CHOOSE($C$3,C49,D49,E49)</f>
        <v>50000</v>
      </c>
      <c r="G49" s="3"/>
    </row>
    <row r="50" customFormat="false" ht="15" hidden="false" customHeight="false" outlineLevel="0" collapsed="false">
      <c r="A50" s="7" t="s">
        <v>130</v>
      </c>
      <c r="B50" s="3" t="s">
        <v>45</v>
      </c>
      <c r="C50" s="22" t="n">
        <v>110000</v>
      </c>
      <c r="D50" s="22" t="n">
        <v>90000</v>
      </c>
      <c r="E50" s="22" t="n">
        <v>75000</v>
      </c>
      <c r="F50" s="19" t="n">
        <f aca="false">CHOOSE($C$3,C50,D50,E50)</f>
        <v>90000</v>
      </c>
      <c r="G50" s="3" t="s">
        <v>131</v>
      </c>
    </row>
    <row r="51" customFormat="false" ht="15" hidden="false" customHeight="false" outlineLevel="0" collapsed="false">
      <c r="A51" s="7" t="s">
        <v>132</v>
      </c>
      <c r="B51" s="3" t="s">
        <v>48</v>
      </c>
      <c r="C51" s="20" t="n">
        <v>0.04</v>
      </c>
      <c r="D51" s="20" t="n">
        <v>0.03</v>
      </c>
      <c r="E51" s="20" t="n">
        <v>0.025</v>
      </c>
      <c r="F51" s="21" t="n">
        <f aca="false">CHOOSE($C$3,C51,D51,E51)</f>
        <v>0.03</v>
      </c>
      <c r="G51" s="3"/>
    </row>
    <row r="52" customFormat="false" ht="15" hidden="false" customHeight="false" outlineLevel="0" collapsed="false">
      <c r="A52" s="7" t="s">
        <v>133</v>
      </c>
      <c r="B52" s="3" t="s">
        <v>75</v>
      </c>
      <c r="C52" s="24" t="n">
        <v>6</v>
      </c>
      <c r="D52" s="24" t="n">
        <v>6</v>
      </c>
      <c r="E52" s="24" t="n">
        <v>5</v>
      </c>
      <c r="F52" s="25" t="n">
        <f aca="false">CHOOSE($C$3,C52,D52,E52)</f>
        <v>6</v>
      </c>
      <c r="G52" s="3" t="s">
        <v>134</v>
      </c>
    </row>
    <row r="53" customFormat="false" ht="15" hidden="false" customHeight="false" outlineLevel="0" collapsed="false">
      <c r="A53" s="16" t="s">
        <v>135</v>
      </c>
      <c r="B53" s="17"/>
      <c r="C53" s="17"/>
      <c r="D53" s="17"/>
      <c r="E53" s="17"/>
      <c r="F53" s="17"/>
      <c r="G53" s="17"/>
    </row>
    <row r="54" customFormat="false" ht="15" hidden="false" customHeight="false" outlineLevel="0" collapsed="false">
      <c r="A54" s="7" t="s">
        <v>136</v>
      </c>
      <c r="B54" s="3" t="s">
        <v>137</v>
      </c>
      <c r="C54" s="29" t="n">
        <v>2037</v>
      </c>
      <c r="D54" s="29" t="n">
        <v>2030</v>
      </c>
      <c r="E54" s="29" t="n">
        <v>2029</v>
      </c>
      <c r="F54" s="30" t="n">
        <f aca="false">CHOOSE($C$3,C54,D54,E54)</f>
        <v>2030</v>
      </c>
      <c r="G54" s="3" t="s">
        <v>138</v>
      </c>
    </row>
    <row r="55" customFormat="false" ht="15" hidden="false" customHeight="false" outlineLevel="0" collapsed="false">
      <c r="A55" s="7" t="s">
        <v>139</v>
      </c>
      <c r="B55" s="3" t="s">
        <v>45</v>
      </c>
      <c r="C55" s="22" t="n">
        <v>450000</v>
      </c>
      <c r="D55" s="22" t="n">
        <v>350000</v>
      </c>
      <c r="E55" s="22" t="n">
        <v>275000</v>
      </c>
      <c r="F55" s="19" t="n">
        <f aca="false">CHOOSE($C$3,C55,D55,E55)</f>
        <v>350000</v>
      </c>
      <c r="G55" s="3" t="s">
        <v>140</v>
      </c>
    </row>
    <row r="56" customFormat="false" ht="15" hidden="false" customHeight="false" outlineLevel="0" collapsed="false">
      <c r="A56" s="7" t="s">
        <v>141</v>
      </c>
      <c r="B56" s="3" t="s">
        <v>142</v>
      </c>
      <c r="C56" s="22" t="n">
        <v>1000000</v>
      </c>
      <c r="D56" s="22" t="n">
        <v>850000</v>
      </c>
      <c r="E56" s="22" t="n">
        <v>750000</v>
      </c>
      <c r="F56" s="19" t="n">
        <f aca="false">CHOOSE($C$3,C56,D56,E56)</f>
        <v>850000</v>
      </c>
      <c r="G56" s="3" t="s">
        <v>143</v>
      </c>
    </row>
    <row r="57" customFormat="false" ht="15" hidden="false" customHeight="false" outlineLevel="0" collapsed="false">
      <c r="A57" s="7" t="s">
        <v>144</v>
      </c>
      <c r="B57" s="3" t="s">
        <v>142</v>
      </c>
      <c r="C57" s="22" t="n">
        <v>60000</v>
      </c>
      <c r="D57" s="22" t="n">
        <v>50000</v>
      </c>
      <c r="E57" s="22" t="n">
        <v>40000</v>
      </c>
      <c r="F57" s="19" t="n">
        <f aca="false">CHOOSE($C$3,C57,D57,E57)</f>
        <v>50000</v>
      </c>
      <c r="G57" s="3"/>
    </row>
    <row r="58" customFormat="false" ht="15" hidden="false" customHeight="false" outlineLevel="0" collapsed="false">
      <c r="A58" s="7" t="s">
        <v>145</v>
      </c>
      <c r="B58" s="3" t="s">
        <v>142</v>
      </c>
      <c r="C58" s="18" t="n">
        <v>150000</v>
      </c>
      <c r="D58" s="18" t="n">
        <v>200000</v>
      </c>
      <c r="E58" s="18" t="n">
        <v>225000</v>
      </c>
      <c r="F58" s="19" t="n">
        <f aca="false">CHOOSE($C$3,C58,D58,E58)</f>
        <v>200000</v>
      </c>
      <c r="G58" s="3" t="s">
        <v>146</v>
      </c>
    </row>
    <row r="59" customFormat="false" ht="15" hidden="false" customHeight="false" outlineLevel="0" collapsed="false">
      <c r="A59" s="16" t="s">
        <v>147</v>
      </c>
      <c r="B59" s="17"/>
      <c r="C59" s="17"/>
      <c r="D59" s="17"/>
      <c r="E59" s="17"/>
      <c r="F59" s="17"/>
      <c r="G59" s="17"/>
    </row>
    <row r="60" customFormat="false" ht="15" hidden="false" customHeight="false" outlineLevel="0" collapsed="false">
      <c r="A60" s="7" t="s">
        <v>148</v>
      </c>
      <c r="B60" s="3" t="s">
        <v>137</v>
      </c>
      <c r="C60" s="29" t="n">
        <v>2036</v>
      </c>
      <c r="D60" s="29" t="n">
        <v>2036</v>
      </c>
      <c r="E60" s="29" t="n">
        <v>2036</v>
      </c>
      <c r="F60" s="30" t="n">
        <f aca="false">CHOOSE($C$3,C60,D60,E60)</f>
        <v>2036</v>
      </c>
      <c r="G60" s="3" t="s">
        <v>149</v>
      </c>
    </row>
    <row r="61" customFormat="false" ht="15" hidden="false" customHeight="false" outlineLevel="0" collapsed="false">
      <c r="A61" s="7" t="s">
        <v>150</v>
      </c>
      <c r="B61" s="3" t="s">
        <v>151</v>
      </c>
      <c r="C61" s="31" t="n">
        <v>5</v>
      </c>
      <c r="D61" s="31" t="n">
        <v>6</v>
      </c>
      <c r="E61" s="31" t="n">
        <v>6.5</v>
      </c>
      <c r="F61" s="32" t="n">
        <f aca="false">CHOOSE($C$3,C61,D61,E61)</f>
        <v>6</v>
      </c>
      <c r="G61" s="3" t="s">
        <v>152</v>
      </c>
    </row>
    <row r="62" customFormat="false" ht="15" hidden="false" customHeight="false" outlineLevel="0" collapsed="false">
      <c r="A62" s="7" t="s">
        <v>153</v>
      </c>
      <c r="B62" s="3" t="s">
        <v>48</v>
      </c>
      <c r="C62" s="20" t="n">
        <v>0.03</v>
      </c>
      <c r="D62" s="20" t="n">
        <v>0.02</v>
      </c>
      <c r="E62" s="20" t="n">
        <v>0.02</v>
      </c>
      <c r="F62" s="21" t="n">
        <f aca="false">CHOOSE($C$3,C62,D62,E62)</f>
        <v>0.02</v>
      </c>
      <c r="G62" s="3" t="s">
        <v>154</v>
      </c>
    </row>
    <row r="63" customFormat="false" ht="15" hidden="false" customHeight="false" outlineLevel="0" collapsed="false">
      <c r="A63" s="7" t="s">
        <v>155</v>
      </c>
      <c r="B63" s="3" t="s">
        <v>48</v>
      </c>
      <c r="C63" s="23" t="n">
        <v>0.07</v>
      </c>
      <c r="D63" s="23" t="n">
        <v>0.05</v>
      </c>
      <c r="E63" s="23" t="n">
        <v>0.035</v>
      </c>
      <c r="F63" s="21" t="n">
        <f aca="false">CHOOSE($C$3,C63,D63,E63)</f>
        <v>0.05</v>
      </c>
      <c r="G63" s="3" t="s">
        <v>156</v>
      </c>
    </row>
    <row r="64" customFormat="false" ht="15" hidden="false" customHeight="false" outlineLevel="0" collapsed="false">
      <c r="A64" s="7" t="s">
        <v>157</v>
      </c>
      <c r="B64" s="3" t="s">
        <v>48</v>
      </c>
      <c r="C64" s="20" t="n">
        <v>0.37</v>
      </c>
      <c r="D64" s="20" t="n">
        <v>0.37</v>
      </c>
      <c r="E64" s="20" t="n">
        <v>0.37</v>
      </c>
      <c r="F64" s="21" t="n">
        <f aca="false">CHOOSE($C$3,C64,D64,E64)</f>
        <v>0.37</v>
      </c>
      <c r="G64" s="3" t="s">
        <v>158</v>
      </c>
    </row>
    <row r="65" customFormat="false" ht="15" hidden="false" customHeight="false" outlineLevel="0" collapsed="false">
      <c r="A65" s="7" t="s">
        <v>159</v>
      </c>
      <c r="B65" s="3" t="s">
        <v>48</v>
      </c>
      <c r="C65" s="20" t="n">
        <v>1</v>
      </c>
      <c r="D65" s="20" t="n">
        <v>1</v>
      </c>
      <c r="E65" s="20" t="n">
        <v>1</v>
      </c>
      <c r="F65" s="21" t="n">
        <f aca="false">CHOOSE($C$3,C65,D65,E65)</f>
        <v>1</v>
      </c>
      <c r="G65" s="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161</v>
      </c>
      <c r="B1" s="2"/>
      <c r="C1" s="2"/>
      <c r="D1" s="2"/>
    </row>
    <row r="2" customFormat="false" ht="15" hidden="false" customHeight="false" outlineLevel="0" collapsed="false">
      <c r="A2" s="3" t="s">
        <v>162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5" t="s">
        <v>163</v>
      </c>
      <c r="B4" s="6"/>
      <c r="C4" s="6" t="s">
        <v>164</v>
      </c>
      <c r="D4" s="6" t="s">
        <v>165</v>
      </c>
    </row>
    <row r="5" customFormat="false" ht="15" hidden="false" customHeight="false" outlineLevel="0" collapsed="false">
      <c r="A5" s="7" t="s">
        <v>166</v>
      </c>
      <c r="B5" s="2"/>
      <c r="C5" s="33" t="n">
        <f aca="false">Assumptions!$F$7</f>
        <v>13500000</v>
      </c>
      <c r="D5" s="3" t="s">
        <v>167</v>
      </c>
    </row>
    <row r="6" customFormat="false" ht="15" hidden="false" customHeight="false" outlineLevel="0" collapsed="false">
      <c r="A6" s="7" t="s">
        <v>168</v>
      </c>
      <c r="B6" s="2"/>
      <c r="C6" s="33" t="n">
        <f aca="false">Assumptions!$F$9</f>
        <v>75000</v>
      </c>
      <c r="D6" s="3"/>
    </row>
    <row r="7" customFormat="false" ht="15" hidden="false" customHeight="false" outlineLevel="0" collapsed="false">
      <c r="A7" s="7" t="s">
        <v>52</v>
      </c>
      <c r="B7" s="2"/>
      <c r="C7" s="33" t="n">
        <f aca="false">Assumptions!$F$10</f>
        <v>50000</v>
      </c>
      <c r="D7" s="3"/>
    </row>
    <row r="8" customFormat="false" ht="15" hidden="false" customHeight="false" outlineLevel="0" collapsed="false">
      <c r="A8" s="7" t="s">
        <v>169</v>
      </c>
      <c r="B8" s="2"/>
      <c r="C8" s="33" t="n">
        <f aca="false">Assumptions!$F$11</f>
        <v>150000</v>
      </c>
      <c r="D8" s="3"/>
    </row>
    <row r="9" customFormat="false" ht="15" hidden="false" customHeight="false" outlineLevel="0" collapsed="false">
      <c r="A9" s="7" t="s">
        <v>170</v>
      </c>
      <c r="B9" s="2"/>
      <c r="C9" s="33" t="n">
        <f aca="false">Assumptions!$F$12</f>
        <v>250000</v>
      </c>
      <c r="D9" s="3"/>
    </row>
    <row r="10" customFormat="false" ht="15" hidden="false" customHeight="false" outlineLevel="0" collapsed="false">
      <c r="A10" s="7" t="s">
        <v>171</v>
      </c>
      <c r="B10" s="2"/>
      <c r="C10" s="33" t="n">
        <f aca="false">Assumptions!$F$13</f>
        <v>75000</v>
      </c>
      <c r="D10" s="3"/>
    </row>
    <row r="11" customFormat="false" ht="15" hidden="false" customHeight="false" outlineLevel="0" collapsed="false">
      <c r="A11" s="7" t="s">
        <v>172</v>
      </c>
      <c r="B11" s="2"/>
      <c r="C11" s="33" t="n">
        <f aca="false">Assumptions!$F$14</f>
        <v>50000</v>
      </c>
      <c r="D11" s="3"/>
    </row>
    <row r="12" customFormat="false" ht="15" hidden="false" customHeight="false" outlineLevel="0" collapsed="false">
      <c r="A12" s="7" t="s">
        <v>173</v>
      </c>
      <c r="B12" s="2"/>
      <c r="C12" s="33" t="n">
        <f aca="false">'Unit Economics'!$F$38</f>
        <v>618625</v>
      </c>
      <c r="D12" s="3" t="s">
        <v>174</v>
      </c>
    </row>
    <row r="13" customFormat="false" ht="15" hidden="false" customHeight="false" outlineLevel="0" collapsed="false">
      <c r="A13" s="12" t="s">
        <v>175</v>
      </c>
      <c r="B13" s="2"/>
      <c r="C13" s="34" t="n">
        <f aca="false">SUM(C5:C12)</f>
        <v>14768625</v>
      </c>
      <c r="D13" s="2"/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5" t="s">
        <v>176</v>
      </c>
      <c r="B15" s="6"/>
      <c r="C15" s="6" t="s">
        <v>164</v>
      </c>
      <c r="D15" s="6" t="s">
        <v>165</v>
      </c>
    </row>
    <row r="16" customFormat="false" ht="15" hidden="false" customHeight="false" outlineLevel="0" collapsed="false">
      <c r="A16" s="7" t="s">
        <v>8</v>
      </c>
      <c r="B16" s="2"/>
      <c r="C16" s="33" t="n">
        <f aca="false">Assumptions!$F$7*Assumptions!$F$16</f>
        <v>10800000</v>
      </c>
      <c r="D16" s="3" t="s">
        <v>177</v>
      </c>
    </row>
    <row r="17" customFormat="false" ht="15" hidden="false" customHeight="false" outlineLevel="0" collapsed="false">
      <c r="A17" s="7" t="s">
        <v>178</v>
      </c>
      <c r="B17" s="2"/>
      <c r="C17" s="35" t="n">
        <f aca="false">C13-C16</f>
        <v>3968625</v>
      </c>
      <c r="D17" s="2"/>
    </row>
    <row r="18" customFormat="false" ht="15" hidden="false" customHeight="false" outlineLevel="0" collapsed="false">
      <c r="A18" s="12" t="s">
        <v>179</v>
      </c>
      <c r="B18" s="2"/>
      <c r="C18" s="34" t="n">
        <f aca="false">C16+C17</f>
        <v>14768625</v>
      </c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false" outlineLevel="0" collapsed="false">
      <c r="A20" s="7" t="s">
        <v>180</v>
      </c>
      <c r="B20" s="2"/>
      <c r="C20" s="36" t="n">
        <f aca="false">C17/C13</f>
        <v>0.268720006094</v>
      </c>
      <c r="D20" s="2"/>
    </row>
    <row r="21" customFormat="false" ht="15" hidden="false" customHeight="false" outlineLevel="0" collapsed="false">
      <c r="A21" s="2"/>
      <c r="B21" s="2"/>
      <c r="C21" s="2"/>
      <c r="D21" s="2"/>
    </row>
    <row r="22" customFormat="false" ht="15" hidden="false" customHeight="false" outlineLevel="0" collapsed="false">
      <c r="A22" s="5" t="s">
        <v>181</v>
      </c>
      <c r="B22" s="6"/>
      <c r="C22" s="6" t="s">
        <v>164</v>
      </c>
      <c r="D22" s="6" t="s">
        <v>165</v>
      </c>
    </row>
    <row r="23" customFormat="false" ht="15" hidden="false" customHeight="false" outlineLevel="0" collapsed="false">
      <c r="A23" s="7" t="s">
        <v>182</v>
      </c>
      <c r="B23" s="2"/>
      <c r="C23" s="33" t="n">
        <f aca="false">Forecast!D20+Forecast!D21</f>
        <v>4310550</v>
      </c>
      <c r="D23" s="3" t="s">
        <v>183</v>
      </c>
    </row>
    <row r="24" customFormat="false" ht="15" hidden="false" customHeight="false" outlineLevel="0" collapsed="false">
      <c r="A24" s="7" t="s">
        <v>184</v>
      </c>
      <c r="B24" s="2"/>
      <c r="C24" s="33" t="n">
        <f aca="false">-Forecast!D26</f>
        <v>-2260674.9</v>
      </c>
      <c r="D24" s="3"/>
    </row>
    <row r="25" customFormat="false" ht="15" hidden="false" customHeight="false" outlineLevel="0" collapsed="false">
      <c r="A25" s="7" t="s">
        <v>185</v>
      </c>
      <c r="B25" s="2"/>
      <c r="C25" s="33" t="n">
        <f aca="false">-Forecast!D27</f>
        <v>-660487.5</v>
      </c>
      <c r="D25" s="3"/>
    </row>
    <row r="26" customFormat="false" ht="15" hidden="false" customHeight="false" outlineLevel="0" collapsed="false">
      <c r="A26" s="7" t="s">
        <v>186</v>
      </c>
      <c r="B26" s="2"/>
      <c r="C26" s="33" t="n">
        <f aca="false">-Forecast!D28</f>
        <v>-108150</v>
      </c>
      <c r="D26" s="3"/>
    </row>
    <row r="27" customFormat="false" ht="15" hidden="false" customHeight="false" outlineLevel="0" collapsed="false">
      <c r="A27" s="7" t="s">
        <v>187</v>
      </c>
      <c r="B27" s="2"/>
      <c r="C27" s="33" t="n">
        <f aca="false">-Forecast!D29</f>
        <v>-289430</v>
      </c>
      <c r="D27" s="3"/>
    </row>
    <row r="28" customFormat="false" ht="15" hidden="false" customHeight="false" outlineLevel="0" collapsed="false">
      <c r="A28" s="7" t="s">
        <v>188</v>
      </c>
      <c r="B28" s="2"/>
      <c r="C28" s="33" t="n">
        <f aca="false">-Forecast!D30</f>
        <v>-123600</v>
      </c>
      <c r="D28" s="3"/>
    </row>
    <row r="29" customFormat="false" ht="15" hidden="false" customHeight="false" outlineLevel="0" collapsed="false">
      <c r="A29" s="7" t="s">
        <v>189</v>
      </c>
      <c r="B29" s="2"/>
      <c r="C29" s="33" t="n">
        <f aca="false">-Forecast!D31</f>
        <v>-431055</v>
      </c>
      <c r="D29" s="3"/>
    </row>
    <row r="30" customFormat="false" ht="15" hidden="false" customHeight="false" outlineLevel="0" collapsed="false">
      <c r="A30" s="7" t="s">
        <v>190</v>
      </c>
      <c r="B30" s="2"/>
      <c r="C30" s="33" t="n">
        <f aca="false">-Forecast!D32</f>
        <v>-92700</v>
      </c>
      <c r="D30" s="3"/>
    </row>
    <row r="31" customFormat="false" ht="15" hidden="false" customHeight="false" outlineLevel="0" collapsed="false">
      <c r="A31" s="12" t="s">
        <v>191</v>
      </c>
      <c r="B31" s="2"/>
      <c r="C31" s="8" t="n">
        <f aca="false">Forecast!D36</f>
        <v>344452.6</v>
      </c>
      <c r="D31" s="3"/>
    </row>
    <row r="32" customFormat="false" ht="15" hidden="false" customHeight="false" outlineLevel="0" collapsed="false">
      <c r="A32" s="7" t="s">
        <v>192</v>
      </c>
      <c r="B32" s="2"/>
      <c r="C32" s="33" t="n">
        <f aca="false">-(Forecast!D39+Forecast!D40)</f>
        <v>-1204574.22936194</v>
      </c>
      <c r="D32" s="3"/>
    </row>
    <row r="33" customFormat="false" ht="15" hidden="false" customHeight="false" outlineLevel="0" collapsed="false">
      <c r="A33" s="12" t="s">
        <v>193</v>
      </c>
      <c r="B33" s="2"/>
      <c r="C33" s="8" t="n">
        <f aca="false">Forecast!D41</f>
        <v>-860121.629361937</v>
      </c>
      <c r="D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12" min="3" style="0" width="13"/>
  </cols>
  <sheetData>
    <row r="1" customFormat="false" ht="17.35" hidden="false" customHeight="false" outlineLevel="0" collapsed="false">
      <c r="A1" s="1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tr">
        <f aca="false">"Scenario: "&amp;Assumptions!$D$3</f>
        <v>Scenario: Base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5" t="s">
        <v>196</v>
      </c>
      <c r="B4" s="6"/>
      <c r="C4" s="6" t="s">
        <v>197</v>
      </c>
      <c r="D4" s="6" t="s">
        <v>198</v>
      </c>
      <c r="E4" s="6" t="s">
        <v>199</v>
      </c>
      <c r="F4" s="6" t="s">
        <v>200</v>
      </c>
      <c r="G4" s="6" t="s">
        <v>201</v>
      </c>
      <c r="H4" s="6" t="s">
        <v>202</v>
      </c>
      <c r="I4" s="6" t="s">
        <v>203</v>
      </c>
      <c r="J4" s="6" t="s">
        <v>204</v>
      </c>
      <c r="K4" s="6" t="s">
        <v>205</v>
      </c>
      <c r="L4" s="6" t="s">
        <v>206</v>
      </c>
    </row>
    <row r="5" customFormat="false" ht="15" hidden="false" customHeight="false" outlineLevel="0" collapsed="false">
      <c r="A5" s="7" t="s">
        <v>207</v>
      </c>
      <c r="B5" s="2"/>
      <c r="C5" s="37" t="n">
        <v>2027</v>
      </c>
      <c r="D5" s="37" t="n">
        <v>2028</v>
      </c>
      <c r="E5" s="37" t="n">
        <v>2029</v>
      </c>
      <c r="F5" s="37" t="n">
        <v>2030</v>
      </c>
      <c r="G5" s="37" t="n">
        <v>2031</v>
      </c>
      <c r="H5" s="37" t="n">
        <v>2032</v>
      </c>
      <c r="I5" s="37" t="n">
        <v>2033</v>
      </c>
      <c r="J5" s="37" t="n">
        <v>2034</v>
      </c>
      <c r="K5" s="37" t="n">
        <v>2035</v>
      </c>
      <c r="L5" s="37" t="n">
        <v>2036</v>
      </c>
    </row>
    <row r="6" customFormat="false" ht="15" hidden="false" customHeight="false" outlineLevel="0" collapsed="false">
      <c r="A6" s="7" t="s">
        <v>208</v>
      </c>
      <c r="B6" s="2"/>
      <c r="C6" s="38" t="n">
        <f aca="false">C5-2027</f>
        <v>0</v>
      </c>
      <c r="D6" s="38" t="n">
        <f aca="false">D5-2027</f>
        <v>1</v>
      </c>
      <c r="E6" s="38" t="n">
        <f aca="false">E5-2027</f>
        <v>2</v>
      </c>
      <c r="F6" s="38" t="n">
        <f aca="false">F5-2027</f>
        <v>3</v>
      </c>
      <c r="G6" s="38" t="n">
        <f aca="false">G5-2027</f>
        <v>4</v>
      </c>
      <c r="H6" s="38" t="n">
        <f aca="false">H5-2027</f>
        <v>5</v>
      </c>
      <c r="I6" s="38" t="n">
        <f aca="false">I5-2027</f>
        <v>6</v>
      </c>
      <c r="J6" s="38" t="n">
        <f aca="false">J5-2027</f>
        <v>7</v>
      </c>
      <c r="K6" s="38" t="n">
        <f aca="false">K5-2027</f>
        <v>8</v>
      </c>
      <c r="L6" s="38" t="n">
        <f aca="false">L5-2027</f>
        <v>9</v>
      </c>
    </row>
    <row r="7" customFormat="false" ht="15" hidden="false" customHeight="false" outlineLevel="0" collapsed="false">
      <c r="A7" s="7" t="s">
        <v>209</v>
      </c>
      <c r="B7" s="2"/>
      <c r="C7" s="39" t="n">
        <f aca="false">IF(C5&lt;Assumptions!$F$54,1,0)</f>
        <v>1</v>
      </c>
      <c r="D7" s="39" t="n">
        <f aca="false">IF(D5&lt;Assumptions!$F$54,1,0)</f>
        <v>1</v>
      </c>
      <c r="E7" s="39" t="n">
        <f aca="false">IF(E5&lt;Assumptions!$F$54,1,0)</f>
        <v>1</v>
      </c>
      <c r="F7" s="39" t="n">
        <f aca="false">IF(F5&lt;Assumptions!$F$54,1,0)</f>
        <v>0</v>
      </c>
      <c r="G7" s="39" t="n">
        <f aca="false">IF(G5&lt;Assumptions!$F$54,1,0)</f>
        <v>0</v>
      </c>
      <c r="H7" s="39" t="n">
        <f aca="false">IF(H5&lt;Assumptions!$F$54,1,0)</f>
        <v>0</v>
      </c>
      <c r="I7" s="39" t="n">
        <f aca="false">IF(I5&lt;Assumptions!$F$54,1,0)</f>
        <v>0</v>
      </c>
      <c r="J7" s="39" t="n">
        <f aca="false">IF(J5&lt;Assumptions!$F$54,1,0)</f>
        <v>0</v>
      </c>
      <c r="K7" s="39" t="n">
        <f aca="false">IF(K5&lt;Assumptions!$F$54,1,0)</f>
        <v>0</v>
      </c>
      <c r="L7" s="39" t="n">
        <f aca="false">IF(L5&lt;Assumptions!$F$54,1,0)</f>
        <v>0</v>
      </c>
    </row>
    <row r="8" customFormat="false" ht="15" hidden="false" customHeight="false" outlineLevel="0" collapsed="false">
      <c r="A8" s="7" t="s">
        <v>210</v>
      </c>
      <c r="B8" s="2"/>
      <c r="C8" s="40" t="n">
        <f aca="false">(1+Assumptions!$F$51)^C6</f>
        <v>1</v>
      </c>
      <c r="D8" s="40" t="n">
        <f aca="false">(1+Assumptions!$F$51)^D6</f>
        <v>1.03</v>
      </c>
      <c r="E8" s="40" t="n">
        <f aca="false">(1+Assumptions!$F$51)^E6</f>
        <v>1.0609</v>
      </c>
      <c r="F8" s="40" t="n">
        <f aca="false">(1+Assumptions!$F$51)^F6</f>
        <v>1.092727</v>
      </c>
      <c r="G8" s="40" t="n">
        <f aca="false">(1+Assumptions!$F$51)^G6</f>
        <v>1.12550881</v>
      </c>
      <c r="H8" s="40" t="n">
        <f aca="false">(1+Assumptions!$F$51)^H6</f>
        <v>1.1592740743</v>
      </c>
      <c r="I8" s="40" t="n">
        <f aca="false">(1+Assumptions!$F$51)^I6</f>
        <v>1.194052296529</v>
      </c>
      <c r="J8" s="40" t="n">
        <f aca="false">(1+Assumptions!$F$51)^J6</f>
        <v>1.22987386542487</v>
      </c>
      <c r="K8" s="40" t="n">
        <f aca="false">(1+Assumptions!$F$51)^K6</f>
        <v>1.26677008138762</v>
      </c>
      <c r="L8" s="40" t="n">
        <f aca="false">(1+Assumptions!$F$51)^L6</f>
        <v>1.30477318382925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16" t="s">
        <v>211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" hidden="false" customHeight="false" outlineLevel="0" collapsed="false">
      <c r="A11" s="7" t="s">
        <v>212</v>
      </c>
      <c r="B11" s="2"/>
      <c r="C11" s="39" t="n">
        <f aca="false">'Fleet Plan'!C9</f>
        <v>1</v>
      </c>
      <c r="D11" s="39" t="n">
        <f aca="false">'Fleet Plan'!D9</f>
        <v>1</v>
      </c>
      <c r="E11" s="39" t="n">
        <f aca="false">'Fleet Plan'!E9</f>
        <v>1</v>
      </c>
      <c r="F11" s="39" t="n">
        <f aca="false">'Fleet Plan'!F9</f>
        <v>2</v>
      </c>
      <c r="G11" s="39" t="n">
        <f aca="false">'Fleet Plan'!G9</f>
        <v>2</v>
      </c>
      <c r="H11" s="39" t="n">
        <f aca="false">'Fleet Plan'!H9</f>
        <v>2</v>
      </c>
      <c r="I11" s="39" t="n">
        <f aca="false">'Fleet Plan'!I9</f>
        <v>3</v>
      </c>
      <c r="J11" s="39" t="n">
        <f aca="false">'Fleet Plan'!J9</f>
        <v>3</v>
      </c>
      <c r="K11" s="39" t="n">
        <f aca="false">'Fleet Plan'!K9</f>
        <v>3</v>
      </c>
      <c r="L11" s="39" t="n">
        <f aca="false">'Fleet Plan'!L9</f>
        <v>3</v>
      </c>
    </row>
    <row r="12" customFormat="false" ht="15" hidden="false" customHeight="false" outlineLevel="0" collapsed="false">
      <c r="A12" s="7" t="s">
        <v>213</v>
      </c>
      <c r="B12" s="2"/>
      <c r="C12" s="41" t="n">
        <f aca="false">C11*Assumptions!$F$21/12</f>
        <v>0.5</v>
      </c>
      <c r="D12" s="42" t="n">
        <f aca="false">(C11+D11)/2</f>
        <v>1</v>
      </c>
      <c r="E12" s="42" t="n">
        <f aca="false">(D11+E11)/2</f>
        <v>1</v>
      </c>
      <c r="F12" s="42" t="n">
        <f aca="false">(E11+F11)/2</f>
        <v>1.5</v>
      </c>
      <c r="G12" s="42" t="n">
        <f aca="false">(F11+G11)/2</f>
        <v>2</v>
      </c>
      <c r="H12" s="42" t="n">
        <f aca="false">(G11+H11)/2</f>
        <v>2</v>
      </c>
      <c r="I12" s="42" t="n">
        <f aca="false">(H11+I11)/2</f>
        <v>2.5</v>
      </c>
      <c r="J12" s="42" t="n">
        <f aca="false">(I11+J11)/2</f>
        <v>3</v>
      </c>
      <c r="K12" s="42" t="n">
        <f aca="false">(J11+K11)/2</f>
        <v>3</v>
      </c>
      <c r="L12" s="42" t="n">
        <f aca="false">(K11+L11)/2</f>
        <v>3</v>
      </c>
    </row>
    <row r="13" customFormat="false" ht="15" hidden="false" customHeight="false" outlineLevel="0" collapsed="false">
      <c r="A13" s="7" t="s">
        <v>214</v>
      </c>
      <c r="B13" s="2"/>
      <c r="C13" s="43" t="n">
        <f aca="false">IF(C6=0,Assumptions!$F$22,IF(C6=1,Assumptions!$F$23,1))</f>
        <v>0.6</v>
      </c>
      <c r="D13" s="43" t="n">
        <f aca="false">IF(D6=0,Assumptions!$F$22,IF(D6=1,Assumptions!$F$23,1))</f>
        <v>0.9</v>
      </c>
      <c r="E13" s="43" t="n">
        <f aca="false">IF(E6=0,Assumptions!$F$22,IF(E6=1,Assumptions!$F$23,1))</f>
        <v>1</v>
      </c>
      <c r="F13" s="43" t="n">
        <f aca="false">IF(F6=0,Assumptions!$F$22,IF(F6=1,Assumptions!$F$23,1))</f>
        <v>1</v>
      </c>
      <c r="G13" s="43" t="n">
        <f aca="false">IF(G6=0,Assumptions!$F$22,IF(G6=1,Assumptions!$F$23,1))</f>
        <v>1</v>
      </c>
      <c r="H13" s="43" t="n">
        <f aca="false">IF(H6=0,Assumptions!$F$22,IF(H6=1,Assumptions!$F$23,1))</f>
        <v>1</v>
      </c>
      <c r="I13" s="43" t="n">
        <f aca="false">IF(I6=0,Assumptions!$F$22,IF(I6=1,Assumptions!$F$23,1))</f>
        <v>1</v>
      </c>
      <c r="J13" s="43" t="n">
        <f aca="false">IF(J6=0,Assumptions!$F$22,IF(J6=1,Assumptions!$F$23,1))</f>
        <v>1</v>
      </c>
      <c r="K13" s="43" t="n">
        <f aca="false">IF(K6=0,Assumptions!$F$22,IF(K6=1,Assumptions!$F$23,1))</f>
        <v>1</v>
      </c>
      <c r="L13" s="43" t="n">
        <f aca="false">IF(L6=0,Assumptions!$F$22,IF(L6=1,Assumptions!$F$23,1))</f>
        <v>1</v>
      </c>
    </row>
    <row r="14" customFormat="false" ht="15" hidden="false" customHeight="false" outlineLevel="0" collapsed="false">
      <c r="A14" s="7" t="s">
        <v>215</v>
      </c>
      <c r="B14" s="2"/>
      <c r="C14" s="39" t="n">
        <f aca="false">C12*Assumptions!$F$20*C13</f>
        <v>180</v>
      </c>
      <c r="D14" s="39" t="n">
        <f aca="false">D12*Assumptions!$F$20*D13</f>
        <v>540</v>
      </c>
      <c r="E14" s="39" t="n">
        <f aca="false">E12*Assumptions!$F$20*E13</f>
        <v>600</v>
      </c>
      <c r="F14" s="39" t="n">
        <f aca="false">F12*Assumptions!$F$20*F13</f>
        <v>900</v>
      </c>
      <c r="G14" s="39" t="n">
        <f aca="false">G12*Assumptions!$F$20*G13</f>
        <v>1200</v>
      </c>
      <c r="H14" s="39" t="n">
        <f aca="false">H12*Assumptions!$F$20*H13</f>
        <v>1200</v>
      </c>
      <c r="I14" s="39" t="n">
        <f aca="false">I12*Assumptions!$F$20*I13</f>
        <v>1500</v>
      </c>
      <c r="J14" s="39" t="n">
        <f aca="false">J12*Assumptions!$F$20*J13</f>
        <v>1800</v>
      </c>
      <c r="K14" s="39" t="n">
        <f aca="false">K12*Assumptions!$F$20*K13</f>
        <v>1800</v>
      </c>
      <c r="L14" s="39" t="n">
        <f aca="false">L12*Assumptions!$F$20*L13</f>
        <v>1800</v>
      </c>
    </row>
    <row r="15" customFormat="false" ht="15" hidden="false" customHeight="false" outlineLevel="0" collapsed="false">
      <c r="A15" s="7" t="s">
        <v>216</v>
      </c>
      <c r="B15" s="2"/>
      <c r="C15" s="39" t="n">
        <f aca="false">C14*(1+Assumptions!$F$28)</f>
        <v>198</v>
      </c>
      <c r="D15" s="39" t="n">
        <f aca="false">D14*(1+Assumptions!$F$28)</f>
        <v>594</v>
      </c>
      <c r="E15" s="39" t="n">
        <f aca="false">E14*(1+Assumptions!$F$28)</f>
        <v>660</v>
      </c>
      <c r="F15" s="39" t="n">
        <f aca="false">F14*(1+Assumptions!$F$28)</f>
        <v>990</v>
      </c>
      <c r="G15" s="39" t="n">
        <f aca="false">G14*(1+Assumptions!$F$28)</f>
        <v>1320</v>
      </c>
      <c r="H15" s="39" t="n">
        <f aca="false">H14*(1+Assumptions!$F$28)</f>
        <v>1320</v>
      </c>
      <c r="I15" s="39" t="n">
        <f aca="false">I14*(1+Assumptions!$F$28)</f>
        <v>1650</v>
      </c>
      <c r="J15" s="39" t="n">
        <f aca="false">J14*(1+Assumptions!$F$28)</f>
        <v>1980</v>
      </c>
      <c r="K15" s="39" t="n">
        <f aca="false">K14*(1+Assumptions!$F$28)</f>
        <v>1980</v>
      </c>
      <c r="L15" s="39" t="n">
        <f aca="false">L14*(1+Assumptions!$F$28)</f>
        <v>1980</v>
      </c>
    </row>
    <row r="16" customFormat="false" ht="15" hidden="false" customHeight="false" outlineLevel="0" collapsed="false">
      <c r="A16" s="7" t="s">
        <v>217</v>
      </c>
      <c r="B16" s="2"/>
      <c r="C16" s="39" t="n">
        <f aca="false">'Fleet Plan'!C15*(1-C7)</f>
        <v>0</v>
      </c>
      <c r="D16" s="39" t="n">
        <f aca="false">'Fleet Plan'!D15*(1-D7)</f>
        <v>0</v>
      </c>
      <c r="E16" s="39" t="n">
        <f aca="false">'Fleet Plan'!E15*(1-E7)</f>
        <v>0</v>
      </c>
      <c r="F16" s="39" t="n">
        <f aca="false">'Fleet Plan'!F15*(1-F7)</f>
        <v>1</v>
      </c>
      <c r="G16" s="39" t="n">
        <f aca="false">'Fleet Plan'!G15*(1-G7)</f>
        <v>3</v>
      </c>
      <c r="H16" s="39" t="n">
        <f aca="false">'Fleet Plan'!H15*(1-H7)</f>
        <v>5</v>
      </c>
      <c r="I16" s="39" t="n">
        <f aca="false">'Fleet Plan'!I15*(1-I7)</f>
        <v>7</v>
      </c>
      <c r="J16" s="39" t="n">
        <f aca="false">'Fleet Plan'!J15*(1-J7)</f>
        <v>9</v>
      </c>
      <c r="K16" s="39" t="n">
        <f aca="false">'Fleet Plan'!K15*(1-K7)</f>
        <v>11</v>
      </c>
      <c r="L16" s="39" t="n">
        <f aca="false">'Fleet Plan'!L15*(1-L7)</f>
        <v>12</v>
      </c>
    </row>
    <row r="17" customFormat="false" ht="15" hidden="false" customHeight="false" outlineLevel="0" collapsed="false">
      <c r="A17" s="7" t="s">
        <v>218</v>
      </c>
      <c r="B17" s="2"/>
      <c r="C17" s="42" t="n">
        <f aca="false">0</f>
        <v>0</v>
      </c>
      <c r="D17" s="42" t="n">
        <f aca="false">(C16+D16)/2</f>
        <v>0</v>
      </c>
      <c r="E17" s="42" t="n">
        <f aca="false">(D16+E16)/2</f>
        <v>0</v>
      </c>
      <c r="F17" s="42" t="n">
        <f aca="false">(E16+F16)/2</f>
        <v>0.5</v>
      </c>
      <c r="G17" s="42" t="n">
        <f aca="false">(F16+G16)/2</f>
        <v>2</v>
      </c>
      <c r="H17" s="42" t="n">
        <f aca="false">(G16+H16)/2</f>
        <v>4</v>
      </c>
      <c r="I17" s="42" t="n">
        <f aca="false">(H16+I16)/2</f>
        <v>6</v>
      </c>
      <c r="J17" s="42" t="n">
        <f aca="false">(I16+J16)/2</f>
        <v>8</v>
      </c>
      <c r="K17" s="42" t="n">
        <f aca="false">(J16+K16)/2</f>
        <v>10</v>
      </c>
      <c r="L17" s="42" t="n">
        <f aca="false">(K16+L16)/2</f>
        <v>11.5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16" t="s">
        <v>219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customFormat="false" ht="15" hidden="false" customHeight="false" outlineLevel="0" collapsed="false">
      <c r="A20" s="7" t="s">
        <v>220</v>
      </c>
      <c r="B20" s="2"/>
      <c r="C20" s="33" t="n">
        <f aca="false">C14*Assumptions!$F$24*Assumptions!$F$25*(1+Assumptions!$F$27)^C6</f>
        <v>630000</v>
      </c>
      <c r="D20" s="33" t="n">
        <f aca="false">D14*Assumptions!$F$24*Assumptions!$F$25*(1+Assumptions!$F$27)^D6</f>
        <v>1946700</v>
      </c>
      <c r="E20" s="33" t="n">
        <f aca="false">E14*Assumptions!$F$24*Assumptions!$F$25*(1+Assumptions!$F$27)^E6</f>
        <v>2227890</v>
      </c>
      <c r="F20" s="33" t="n">
        <f aca="false">F14*Assumptions!$F$24*Assumptions!$F$25*(1+Assumptions!$F$27)^F6</f>
        <v>3442090.05</v>
      </c>
      <c r="G20" s="33" t="n">
        <f aca="false">G14*Assumptions!$F$24*Assumptions!$F$25*(1+Assumptions!$F$27)^G6</f>
        <v>4727137.002</v>
      </c>
      <c r="H20" s="33" t="n">
        <f aca="false">H14*Assumptions!$F$24*Assumptions!$F$25*(1+Assumptions!$F$27)^H6</f>
        <v>4868951.11206</v>
      </c>
      <c r="I20" s="33" t="n">
        <f aca="false">I14*Assumptions!$F$24*Assumptions!$F$25*(1+Assumptions!$F$27)^I6</f>
        <v>6268774.55677725</v>
      </c>
      <c r="J20" s="33" t="n">
        <f aca="false">J14*Assumptions!$F$24*Assumptions!$F$25*(1+Assumptions!$F$27)^J6</f>
        <v>7748205.35217668</v>
      </c>
      <c r="K20" s="33" t="n">
        <f aca="false">K14*Assumptions!$F$24*Assumptions!$F$25*(1+Assumptions!$F$27)^K6</f>
        <v>7980651.51274198</v>
      </c>
      <c r="L20" s="33" t="n">
        <f aca="false">L14*Assumptions!$F$24*Assumptions!$F$25*(1+Assumptions!$F$27)^L6</f>
        <v>8220071.05812424</v>
      </c>
    </row>
    <row r="21" customFormat="false" ht="15" hidden="false" customHeight="false" outlineLevel="0" collapsed="false">
      <c r="A21" s="7" t="s">
        <v>221</v>
      </c>
      <c r="B21" s="2"/>
      <c r="C21" s="33" t="n">
        <f aca="false">C14*(1-Assumptions!$F$24)*Assumptions!$F$26*(1+Assumptions!$F$27)^C6</f>
        <v>765000</v>
      </c>
      <c r="D21" s="33" t="n">
        <f aca="false">D14*(1-Assumptions!$F$24)*Assumptions!$F$26*(1+Assumptions!$F$27)^D6</f>
        <v>2363850</v>
      </c>
      <c r="E21" s="33" t="n">
        <f aca="false">E14*(1-Assumptions!$F$24)*Assumptions!$F$26*(1+Assumptions!$F$27)^E6</f>
        <v>2705295</v>
      </c>
      <c r="F21" s="33" t="n">
        <f aca="false">F14*(1-Assumptions!$F$24)*Assumptions!$F$26*(1+Assumptions!$F$27)^F6</f>
        <v>4179680.775</v>
      </c>
      <c r="G21" s="33" t="n">
        <f aca="false">G14*(1-Assumptions!$F$24)*Assumptions!$F$26*(1+Assumptions!$F$27)^G6</f>
        <v>5740094.931</v>
      </c>
      <c r="H21" s="33" t="n">
        <f aca="false">H14*(1-Assumptions!$F$24)*Assumptions!$F$26*(1+Assumptions!$F$27)^H6</f>
        <v>5912297.77893</v>
      </c>
      <c r="I21" s="33" t="n">
        <f aca="false">I14*(1-Assumptions!$F$24)*Assumptions!$F$26*(1+Assumptions!$F$27)^I6</f>
        <v>7612083.39037238</v>
      </c>
      <c r="J21" s="33" t="n">
        <f aca="false">J14*(1-Assumptions!$F$24)*Assumptions!$F$26*(1+Assumptions!$F$27)^J6</f>
        <v>9408535.07050026</v>
      </c>
      <c r="K21" s="33" t="n">
        <f aca="false">K14*(1-Assumptions!$F$24)*Assumptions!$F$26*(1+Assumptions!$F$27)^K6</f>
        <v>9690791.12261527</v>
      </c>
      <c r="L21" s="33" t="n">
        <f aca="false">L14*(1-Assumptions!$F$24)*Assumptions!$F$26*(1+Assumptions!$F$27)^L6</f>
        <v>9981514.85629372</v>
      </c>
    </row>
    <row r="22" customFormat="false" ht="15" hidden="false" customHeight="false" outlineLevel="0" collapsed="false">
      <c r="A22" s="7" t="s">
        <v>222</v>
      </c>
      <c r="B22" s="2"/>
      <c r="C22" s="33" t="n">
        <f aca="false">C17*Assumptions!$F$58*C8</f>
        <v>0</v>
      </c>
      <c r="D22" s="33" t="n">
        <f aca="false">D17*Assumptions!$F$58*D8</f>
        <v>0</v>
      </c>
      <c r="E22" s="33" t="n">
        <f aca="false">E17*Assumptions!$F$58*E8</f>
        <v>0</v>
      </c>
      <c r="F22" s="33" t="n">
        <f aca="false">F17*Assumptions!$F$58*F8</f>
        <v>109272.7</v>
      </c>
      <c r="G22" s="33" t="n">
        <f aca="false">G17*Assumptions!$F$58*G8</f>
        <v>450203.524</v>
      </c>
      <c r="H22" s="33" t="n">
        <f aca="false">H17*Assumptions!$F$58*H8</f>
        <v>927419.25944</v>
      </c>
      <c r="I22" s="33" t="n">
        <f aca="false">I17*Assumptions!$F$58*I8</f>
        <v>1432862.7558348</v>
      </c>
      <c r="J22" s="33" t="n">
        <f aca="false">J17*Assumptions!$F$58*J8</f>
        <v>1967798.18467979</v>
      </c>
      <c r="K22" s="33" t="n">
        <f aca="false">K17*Assumptions!$F$58*K8</f>
        <v>2533540.16277523</v>
      </c>
      <c r="L22" s="33" t="n">
        <f aca="false">L17*Assumptions!$F$58*L8</f>
        <v>3000978.32280726</v>
      </c>
    </row>
    <row r="23" customFormat="false" ht="15" hidden="false" customHeight="false" outlineLevel="0" collapsed="false">
      <c r="A23" s="12" t="s">
        <v>223</v>
      </c>
      <c r="B23" s="2"/>
      <c r="C23" s="34" t="n">
        <f aca="false">SUM(C20:C22)</f>
        <v>1395000</v>
      </c>
      <c r="D23" s="34" t="n">
        <f aca="false">SUM(D20:D22)</f>
        <v>4310550</v>
      </c>
      <c r="E23" s="34" t="n">
        <f aca="false">SUM(E20:E22)</f>
        <v>4933185</v>
      </c>
      <c r="F23" s="34" t="n">
        <f aca="false">SUM(F20:F22)</f>
        <v>7731043.525</v>
      </c>
      <c r="G23" s="34" t="n">
        <f aca="false">SUM(G20:G22)</f>
        <v>10917435.457</v>
      </c>
      <c r="H23" s="34" t="n">
        <f aca="false">SUM(H20:H22)</f>
        <v>11708668.15043</v>
      </c>
      <c r="I23" s="34" t="n">
        <f aca="false">SUM(I20:I22)</f>
        <v>15313720.7029844</v>
      </c>
      <c r="J23" s="34" t="n">
        <f aca="false">SUM(J20:J22)</f>
        <v>19124538.6073567</v>
      </c>
      <c r="K23" s="34" t="n">
        <f aca="false">SUM(K20:K22)</f>
        <v>20204982.7981325</v>
      </c>
      <c r="L23" s="34" t="n">
        <f aca="false">SUM(L20:L22)</f>
        <v>21202564.2372252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16" t="s">
        <v>224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customFormat="false" ht="15" hidden="false" customHeight="false" outlineLevel="0" collapsed="false">
      <c r="A26" s="7" t="s">
        <v>225</v>
      </c>
      <c r="B26" s="2"/>
      <c r="C26" s="33" t="n">
        <f aca="false">C15*(Assumptions!$F$30*Assumptions!$F$31+Assumptions!$F$32+Assumptions!$F$33+Assumptions!$F$34+Assumptions!$F$35)*C8</f>
        <v>731610</v>
      </c>
      <c r="D26" s="33" t="n">
        <f aca="false">D15*(Assumptions!$F$30*Assumptions!$F$31+Assumptions!$F$32+Assumptions!$F$33+Assumptions!$F$34+Assumptions!$F$35)*D8</f>
        <v>2260674.9</v>
      </c>
      <c r="E26" s="33" t="n">
        <f aca="false">E15*(Assumptions!$F$30*Assumptions!$F$31+Assumptions!$F$32+Assumptions!$F$33+Assumptions!$F$34+Assumptions!$F$35)*E8</f>
        <v>2587216.83</v>
      </c>
      <c r="F26" s="33" t="n">
        <f aca="false">F15*(Assumptions!$F$30*Assumptions!$F$31+Assumptions!$F$32+Assumptions!$F$33+Assumptions!$F$34+Assumptions!$F$35)*F8</f>
        <v>3997250.00235</v>
      </c>
      <c r="G26" s="33" t="n">
        <f aca="false">G15*(Assumptions!$F$30*Assumptions!$F$31+Assumptions!$F$32+Assumptions!$F$33+Assumptions!$F$34+Assumptions!$F$35)*G8</f>
        <v>5489556.669894</v>
      </c>
      <c r="H26" s="33" t="n">
        <f aca="false">H15*(Assumptions!$F$30*Assumptions!$F$31+Assumptions!$F$32+Assumptions!$F$33+Assumptions!$F$34+Assumptions!$F$35)*H8</f>
        <v>5654243.36999082</v>
      </c>
      <c r="I26" s="33" t="n">
        <f aca="false">I15*(Assumptions!$F$30*Assumptions!$F$31+Assumptions!$F$32+Assumptions!$F$33+Assumptions!$F$34+Assumptions!$F$35)*I8</f>
        <v>7279838.33886318</v>
      </c>
      <c r="J26" s="33" t="n">
        <f aca="false">J15*(Assumptions!$F$30*Assumptions!$F$31+Assumptions!$F$32+Assumptions!$F$33+Assumptions!$F$34+Assumptions!$F$35)*J8</f>
        <v>8997880.18683489</v>
      </c>
      <c r="K26" s="33" t="n">
        <f aca="false">K15*(Assumptions!$F$30*Assumptions!$F$31+Assumptions!$F$32+Assumptions!$F$33+Assumptions!$F$34+Assumptions!$F$35)*K8</f>
        <v>9267816.59243994</v>
      </c>
      <c r="L26" s="33" t="n">
        <f aca="false">L15*(Assumptions!$F$30*Assumptions!$F$31+Assumptions!$F$32+Assumptions!$F$33+Assumptions!$F$34+Assumptions!$F$35)*L8</f>
        <v>9545851.09021314</v>
      </c>
    </row>
    <row r="27" customFormat="false" ht="15" hidden="false" customHeight="false" outlineLevel="0" collapsed="false">
      <c r="A27" s="7" t="s">
        <v>226</v>
      </c>
      <c r="B27" s="2"/>
      <c r="C27" s="33" t="n">
        <f aca="false">C12*((Assumptions!$F$37*Assumptions!$F$39+Assumptions!$F$38*Assumptions!$F$40)*(1+Assumptions!$F$41)+Assumptions!$F$42)*C8</f>
        <v>320625</v>
      </c>
      <c r="D27" s="33" t="n">
        <f aca="false">D12*((Assumptions!$F$37*Assumptions!$F$39+Assumptions!$F$38*Assumptions!$F$40)*(1+Assumptions!$F$41)+Assumptions!$F$42)*D8</f>
        <v>660487.5</v>
      </c>
      <c r="E27" s="33" t="n">
        <f aca="false">E12*((Assumptions!$F$37*Assumptions!$F$39+Assumptions!$F$38*Assumptions!$F$40)*(1+Assumptions!$F$41)+Assumptions!$F$42)*E8</f>
        <v>680302.125</v>
      </c>
      <c r="F27" s="33" t="n">
        <f aca="false">F12*((Assumptions!$F$37*Assumptions!$F$39+Assumptions!$F$38*Assumptions!$F$40)*(1+Assumptions!$F$41)+Assumptions!$F$42)*F8</f>
        <v>1051066.783125</v>
      </c>
      <c r="G27" s="33" t="n">
        <f aca="false">G12*((Assumptions!$F$37*Assumptions!$F$39+Assumptions!$F$38*Assumptions!$F$40)*(1+Assumptions!$F$41)+Assumptions!$F$42)*G8</f>
        <v>1443465.048825</v>
      </c>
      <c r="H27" s="33" t="n">
        <f aca="false">H12*((Assumptions!$F$37*Assumptions!$F$39+Assumptions!$F$38*Assumptions!$F$40)*(1+Assumptions!$F$41)+Assumptions!$F$42)*H8</f>
        <v>1486769.00028975</v>
      </c>
      <c r="I27" s="33" t="n">
        <f aca="false">I12*((Assumptions!$F$37*Assumptions!$F$39+Assumptions!$F$38*Assumptions!$F$40)*(1+Assumptions!$F$41)+Assumptions!$F$42)*I8</f>
        <v>1914215.08787305</v>
      </c>
      <c r="J27" s="33" t="n">
        <f aca="false">J12*((Assumptions!$F$37*Assumptions!$F$39+Assumptions!$F$38*Assumptions!$F$40)*(1+Assumptions!$F$41)+Assumptions!$F$42)*J8</f>
        <v>2365969.84861109</v>
      </c>
      <c r="K27" s="33" t="n">
        <f aca="false">K12*((Assumptions!$F$37*Assumptions!$F$39+Assumptions!$F$38*Assumptions!$F$40)*(1+Assumptions!$F$41)+Assumptions!$F$42)*K8</f>
        <v>2436948.94406943</v>
      </c>
      <c r="L27" s="33" t="n">
        <f aca="false">L12*((Assumptions!$F$37*Assumptions!$F$39+Assumptions!$F$38*Assumptions!$F$40)*(1+Assumptions!$F$41)+Assumptions!$F$42)*L8</f>
        <v>2510057.41239151</v>
      </c>
    </row>
    <row r="28" customFormat="false" ht="15" hidden="false" customHeight="false" outlineLevel="0" collapsed="false">
      <c r="A28" s="7" t="s">
        <v>227</v>
      </c>
      <c r="B28" s="2"/>
      <c r="C28" s="33" t="n">
        <f aca="false">C12*(Assumptions!$F$37+Assumptions!$F$38)*Assumptions!$F$43*C8</f>
        <v>52500</v>
      </c>
      <c r="D28" s="33" t="n">
        <f aca="false">D12*(Assumptions!$F$37+Assumptions!$F$38)*Assumptions!$F$43*D8</f>
        <v>108150</v>
      </c>
      <c r="E28" s="33" t="n">
        <f aca="false">E12*(Assumptions!$F$37+Assumptions!$F$38)*Assumptions!$F$43*E8</f>
        <v>111394.5</v>
      </c>
      <c r="F28" s="33" t="n">
        <f aca="false">F12*(Assumptions!$F$37+Assumptions!$F$38)*Assumptions!$F$43*F8</f>
        <v>172104.5025</v>
      </c>
      <c r="G28" s="33" t="n">
        <f aca="false">G12*(Assumptions!$F$37+Assumptions!$F$38)*Assumptions!$F$43*G8</f>
        <v>236356.8501</v>
      </c>
      <c r="H28" s="33" t="n">
        <f aca="false">H12*(Assumptions!$F$37+Assumptions!$F$38)*Assumptions!$F$43*H8</f>
        <v>243447.555603</v>
      </c>
      <c r="I28" s="33" t="n">
        <f aca="false">I12*(Assumptions!$F$37+Assumptions!$F$38)*Assumptions!$F$43*I8</f>
        <v>313438.727838863</v>
      </c>
      <c r="J28" s="33" t="n">
        <f aca="false">J12*(Assumptions!$F$37+Assumptions!$F$38)*Assumptions!$F$43*J8</f>
        <v>387410.267608834</v>
      </c>
      <c r="K28" s="33" t="n">
        <f aca="false">K12*(Assumptions!$F$37+Assumptions!$F$38)*Assumptions!$F$43*K8</f>
        <v>399032.575637099</v>
      </c>
      <c r="L28" s="33" t="n">
        <f aca="false">L12*(Assumptions!$F$37+Assumptions!$F$38)*Assumptions!$F$43*L8</f>
        <v>411003.552906212</v>
      </c>
    </row>
    <row r="29" customFormat="false" ht="15" hidden="false" customHeight="false" outlineLevel="0" collapsed="false">
      <c r="A29" s="7" t="s">
        <v>228</v>
      </c>
      <c r="B29" s="2"/>
      <c r="C29" s="33" t="n">
        <f aca="false">C12*(Assumptions!$F$44+Assumptions!$F$45+Assumptions!$F$48+Assumptions!$F$49)*C8</f>
        <v>140500</v>
      </c>
      <c r="D29" s="33" t="n">
        <f aca="false">D12*(Assumptions!$F$44+Assumptions!$F$45+Assumptions!$F$48+Assumptions!$F$49)*D8</f>
        <v>289430</v>
      </c>
      <c r="E29" s="33" t="n">
        <f aca="false">E12*(Assumptions!$F$44+Assumptions!$F$45+Assumptions!$F$48+Assumptions!$F$49)*E8</f>
        <v>298112.9</v>
      </c>
      <c r="F29" s="33" t="n">
        <f aca="false">F12*(Assumptions!$F$44+Assumptions!$F$45+Assumptions!$F$48+Assumptions!$F$49)*F8</f>
        <v>460584.4305</v>
      </c>
      <c r="G29" s="33" t="n">
        <f aca="false">G12*(Assumptions!$F$44+Assumptions!$F$45+Assumptions!$F$48+Assumptions!$F$49)*G8</f>
        <v>632535.95122</v>
      </c>
      <c r="H29" s="33" t="n">
        <f aca="false">H12*(Assumptions!$F$44+Assumptions!$F$45+Assumptions!$F$48+Assumptions!$F$49)*H8</f>
        <v>651512.0297566</v>
      </c>
      <c r="I29" s="33" t="n">
        <f aca="false">I12*(Assumptions!$F$44+Assumptions!$F$45+Assumptions!$F$48+Assumptions!$F$49)*I8</f>
        <v>838821.738311623</v>
      </c>
      <c r="J29" s="33" t="n">
        <f aca="false">J12*(Assumptions!$F$44+Assumptions!$F$45+Assumptions!$F$48+Assumptions!$F$49)*J8</f>
        <v>1036783.66855317</v>
      </c>
      <c r="K29" s="33" t="n">
        <f aca="false">K12*(Assumptions!$F$44+Assumptions!$F$45+Assumptions!$F$48+Assumptions!$F$49)*K8</f>
        <v>1067887.17860976</v>
      </c>
      <c r="L29" s="33" t="n">
        <f aca="false">L12*(Assumptions!$F$44+Assumptions!$F$45+Assumptions!$F$48+Assumptions!$F$49)*L8</f>
        <v>1099923.79396805</v>
      </c>
    </row>
    <row r="30" customFormat="false" ht="15" hidden="false" customHeight="false" outlineLevel="0" collapsed="false">
      <c r="A30" s="7" t="s">
        <v>229</v>
      </c>
      <c r="B30" s="2"/>
      <c r="C30" s="33" t="n">
        <f aca="false">C7*C12*Assumptions!$F$46*12*C8</f>
        <v>60000</v>
      </c>
      <c r="D30" s="33" t="n">
        <f aca="false">D7*D12*Assumptions!$F$46*12*D8</f>
        <v>123600</v>
      </c>
      <c r="E30" s="33" t="n">
        <f aca="false">E7*E12*Assumptions!$F$46*12*E8</f>
        <v>127308</v>
      </c>
      <c r="F30" s="33" t="n">
        <f aca="false">F7*F12*Assumptions!$F$46*12*F8</f>
        <v>0</v>
      </c>
      <c r="G30" s="33" t="n">
        <f aca="false">G7*G12*Assumptions!$F$46*12*G8</f>
        <v>0</v>
      </c>
      <c r="H30" s="33" t="n">
        <f aca="false">H7*H12*Assumptions!$F$46*12*H8</f>
        <v>0</v>
      </c>
      <c r="I30" s="33" t="n">
        <f aca="false">I7*I12*Assumptions!$F$46*12*I8</f>
        <v>0</v>
      </c>
      <c r="J30" s="33" t="n">
        <f aca="false">J7*J12*Assumptions!$F$46*12*J8</f>
        <v>0</v>
      </c>
      <c r="K30" s="33" t="n">
        <f aca="false">K7*K12*Assumptions!$F$46*12*K8</f>
        <v>0</v>
      </c>
      <c r="L30" s="33" t="n">
        <f aca="false">L7*L12*Assumptions!$F$46*12*L8</f>
        <v>0</v>
      </c>
    </row>
    <row r="31" customFormat="false" ht="15" hidden="false" customHeight="false" outlineLevel="0" collapsed="false">
      <c r="A31" s="7" t="s">
        <v>230</v>
      </c>
      <c r="B31" s="2"/>
      <c r="C31" s="33" t="n">
        <f aca="false">C7*(C20+C21)*Assumptions!$F$47</f>
        <v>139500</v>
      </c>
      <c r="D31" s="33" t="n">
        <f aca="false">D7*(D20+D21)*Assumptions!$F$47</f>
        <v>431055</v>
      </c>
      <c r="E31" s="33" t="n">
        <f aca="false">E7*(E20+E21)*Assumptions!$F$47</f>
        <v>493318.5</v>
      </c>
      <c r="F31" s="33" t="n">
        <f aca="false">F7*(F20+F21)*Assumptions!$F$47</f>
        <v>0</v>
      </c>
      <c r="G31" s="33" t="n">
        <f aca="false">G7*(G20+G21)*Assumptions!$F$47</f>
        <v>0</v>
      </c>
      <c r="H31" s="33" t="n">
        <f aca="false">H7*(H20+H21)*Assumptions!$F$47</f>
        <v>0</v>
      </c>
      <c r="I31" s="33" t="n">
        <f aca="false">I7*(I20+I21)*Assumptions!$F$47</f>
        <v>0</v>
      </c>
      <c r="J31" s="33" t="n">
        <f aca="false">J7*(J20+J21)*Assumptions!$F$47</f>
        <v>0</v>
      </c>
      <c r="K31" s="33" t="n">
        <f aca="false">K7*(K20+K21)*Assumptions!$F$47</f>
        <v>0</v>
      </c>
      <c r="L31" s="33" t="n">
        <f aca="false">L7*(L20+L21)*Assumptions!$F$47</f>
        <v>0</v>
      </c>
    </row>
    <row r="32" customFormat="false" ht="15" hidden="false" customHeight="false" outlineLevel="0" collapsed="false">
      <c r="A32" s="7" t="s">
        <v>231</v>
      </c>
      <c r="B32" s="2"/>
      <c r="C32" s="33" t="n">
        <f aca="false">C7*Assumptions!$F$50*C8</f>
        <v>90000</v>
      </c>
      <c r="D32" s="33" t="n">
        <f aca="false">D7*Assumptions!$F$50*D8</f>
        <v>92700</v>
      </c>
      <c r="E32" s="33" t="n">
        <f aca="false">E7*Assumptions!$F$50*E8</f>
        <v>95481</v>
      </c>
      <c r="F32" s="33" t="n">
        <f aca="false">F7*Assumptions!$F$50*F8</f>
        <v>0</v>
      </c>
      <c r="G32" s="33" t="n">
        <f aca="false">G7*Assumptions!$F$50*G8</f>
        <v>0</v>
      </c>
      <c r="H32" s="33" t="n">
        <f aca="false">H7*Assumptions!$F$50*H8</f>
        <v>0</v>
      </c>
      <c r="I32" s="33" t="n">
        <f aca="false">I7*Assumptions!$F$50*I8</f>
        <v>0</v>
      </c>
      <c r="J32" s="33" t="n">
        <f aca="false">J7*Assumptions!$F$50*J8</f>
        <v>0</v>
      </c>
      <c r="K32" s="33" t="n">
        <f aca="false">K7*Assumptions!$F$50*K8</f>
        <v>0</v>
      </c>
      <c r="L32" s="33" t="n">
        <f aca="false">L7*Assumptions!$F$50*L8</f>
        <v>0</v>
      </c>
    </row>
    <row r="33" customFormat="false" ht="15" hidden="false" customHeight="false" outlineLevel="0" collapsed="false">
      <c r="A33" s="7" t="s">
        <v>232</v>
      </c>
      <c r="B33" s="2"/>
      <c r="C33" s="33" t="n">
        <f aca="false">(1-C7)*(Assumptions!$F$56+Assumptions!$F$57*(C12+C17))*C8</f>
        <v>0</v>
      </c>
      <c r="D33" s="33" t="n">
        <f aca="false">(1-D7)*(Assumptions!$F$56+Assumptions!$F$57*(D12+D17))*D8</f>
        <v>0</v>
      </c>
      <c r="E33" s="33" t="n">
        <f aca="false">(1-E7)*(Assumptions!$F$56+Assumptions!$F$57*(E12+E17))*E8</f>
        <v>0</v>
      </c>
      <c r="F33" s="33" t="n">
        <f aca="false">(1-F7)*(Assumptions!$F$56+Assumptions!$F$57*(F12+F17))*F8</f>
        <v>1038090.65</v>
      </c>
      <c r="G33" s="33" t="n">
        <f aca="false">(1-G7)*(Assumptions!$F$56+Assumptions!$F$57*(G12+G17))*G8</f>
        <v>1181784.2505</v>
      </c>
      <c r="H33" s="33" t="n">
        <f aca="false">(1-H7)*(Assumptions!$F$56+Assumptions!$F$57*(H12+H17))*H8</f>
        <v>1333165.185445</v>
      </c>
      <c r="I33" s="33" t="n">
        <f aca="false">(1-I7)*(Assumptions!$F$56+Assumptions!$F$57*(I12+I17))*I8</f>
        <v>1522416.67807448</v>
      </c>
      <c r="J33" s="33" t="n">
        <f aca="false">(1-J7)*(Assumptions!$F$56+Assumptions!$F$57*(J12+J17))*J8</f>
        <v>1721823.41159482</v>
      </c>
      <c r="K33" s="33" t="n">
        <f aca="false">(1-K7)*(Assumptions!$F$56+Assumptions!$F$57*(K12+K17))*K8</f>
        <v>1900155.12208142</v>
      </c>
      <c r="L33" s="33" t="n">
        <f aca="false">(1-L7)*(Assumptions!$F$56+Assumptions!$F$57*(L12+L17))*L8</f>
        <v>2055017.76453106</v>
      </c>
    </row>
    <row r="34" customFormat="false" ht="15" hidden="false" customHeight="false" outlineLevel="0" collapsed="false">
      <c r="A34" s="12" t="s">
        <v>233</v>
      </c>
      <c r="B34" s="2"/>
      <c r="C34" s="34" t="n">
        <f aca="false">SUM(C26:C33)</f>
        <v>1534735</v>
      </c>
      <c r="D34" s="34" t="n">
        <f aca="false">SUM(D26:D33)</f>
        <v>3966097.4</v>
      </c>
      <c r="E34" s="34" t="n">
        <f aca="false">SUM(E26:E33)</f>
        <v>4393133.855</v>
      </c>
      <c r="F34" s="34" t="n">
        <f aca="false">SUM(F26:F33)</f>
        <v>6719096.368475</v>
      </c>
      <c r="G34" s="34" t="n">
        <f aca="false">SUM(G26:G33)</f>
        <v>8983698.770539</v>
      </c>
      <c r="H34" s="34" t="n">
        <f aca="false">SUM(H26:H33)</f>
        <v>9369137.14108517</v>
      </c>
      <c r="I34" s="34" t="n">
        <f aca="false">SUM(I26:I33)</f>
        <v>11868730.5709612</v>
      </c>
      <c r="J34" s="34" t="n">
        <f aca="false">SUM(J26:J33)</f>
        <v>14509867.3832028</v>
      </c>
      <c r="K34" s="34" t="n">
        <f aca="false">SUM(K26:K33)</f>
        <v>15071840.4128377</v>
      </c>
      <c r="L34" s="34" t="n">
        <f aca="false">SUM(L26:L33)</f>
        <v>15621853.61401</v>
      </c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12" t="s">
        <v>191</v>
      </c>
      <c r="B36" s="2"/>
      <c r="C36" s="19" t="n">
        <f aca="false">C23-C34</f>
        <v>-139735</v>
      </c>
      <c r="D36" s="19" t="n">
        <f aca="false">D23-D34</f>
        <v>344452.6</v>
      </c>
      <c r="E36" s="19" t="n">
        <f aca="false">E23-E34</f>
        <v>540051.145</v>
      </c>
      <c r="F36" s="19" t="n">
        <f aca="false">F23-F34</f>
        <v>1011947.156525</v>
      </c>
      <c r="G36" s="19" t="n">
        <f aca="false">G23-G34</f>
        <v>1933736.686461</v>
      </c>
      <c r="H36" s="19" t="n">
        <f aca="false">H23-H34</f>
        <v>2339531.00934483</v>
      </c>
      <c r="I36" s="19" t="n">
        <f aca="false">I23-I34</f>
        <v>3444990.13202323</v>
      </c>
      <c r="J36" s="19" t="n">
        <f aca="false">J23-J34</f>
        <v>4614671.22415393</v>
      </c>
      <c r="K36" s="19" t="n">
        <f aca="false">K23-K34</f>
        <v>5133142.38529483</v>
      </c>
      <c r="L36" s="19" t="n">
        <f aca="false">L23-L34</f>
        <v>5580710.62321525</v>
      </c>
    </row>
    <row r="37" customFormat="false" ht="15" hidden="false" customHeight="false" outlineLevel="0" collapsed="false">
      <c r="A37" s="7" t="s">
        <v>234</v>
      </c>
      <c r="B37" s="2"/>
      <c r="C37" s="36" t="n">
        <f aca="false">IF(C23=0,0,C36/C23)</f>
        <v>-0.100168458781362</v>
      </c>
      <c r="D37" s="36" t="n">
        <f aca="false">IF(D23=0,0,D36/D23)</f>
        <v>0.0799091995221028</v>
      </c>
      <c r="E37" s="36" t="n">
        <f aca="false">IF(E23=0,0,E36/E23)</f>
        <v>0.10947311827957</v>
      </c>
      <c r="F37" s="36" t="n">
        <f aca="false">IF(F23=0,0,F36/F23)</f>
        <v>0.130893992932862</v>
      </c>
      <c r="G37" s="36" t="n">
        <f aca="false">IF(G23=0,0,G36/G23)</f>
        <v>0.177123711340206</v>
      </c>
      <c r="H37" s="36" t="n">
        <f aca="false">IF(H23=0,0,H36/H23)</f>
        <v>0.199811881188119</v>
      </c>
      <c r="I37" s="36" t="n">
        <f aca="false">IF(I23=0,0,I36/I23)</f>
        <v>0.224961013645224</v>
      </c>
      <c r="J37" s="36" t="n">
        <f aca="false">IF(J23=0,0,J36/J23)</f>
        <v>0.241295819935691</v>
      </c>
      <c r="K37" s="36" t="n">
        <f aca="false">IF(K23=0,0,K36/K23)</f>
        <v>0.25405329153605</v>
      </c>
      <c r="L37" s="36" t="n">
        <f aca="false">IF(L23=0,0,L36/L23)</f>
        <v>0.263209230769231</v>
      </c>
    </row>
    <row r="38" customFormat="false" ht="15" hidden="false" customHeight="false" outlineLevel="0" collapsed="false">
      <c r="A38" s="7" t="s">
        <v>235</v>
      </c>
      <c r="B38" s="2"/>
      <c r="C38" s="33" t="n">
        <f aca="false">IF(C5=Assumptions!$F$54-1,Assumptions!$F$55,0)</f>
        <v>0</v>
      </c>
      <c r="D38" s="33" t="n">
        <f aca="false">IF(D5=Assumptions!$F$54-1,Assumptions!$F$55,0)</f>
        <v>0</v>
      </c>
      <c r="E38" s="33" t="n">
        <f aca="false">IF(E5=Assumptions!$F$54-1,Assumptions!$F$55,0)</f>
        <v>350000</v>
      </c>
      <c r="F38" s="33" t="n">
        <f aca="false">IF(F5=Assumptions!$F$54-1,Assumptions!$F$55,0)</f>
        <v>0</v>
      </c>
      <c r="G38" s="33" t="n">
        <f aca="false">IF(G5=Assumptions!$F$54-1,Assumptions!$F$55,0)</f>
        <v>0</v>
      </c>
      <c r="H38" s="33" t="n">
        <f aca="false">IF(H5=Assumptions!$F$54-1,Assumptions!$F$55,0)</f>
        <v>0</v>
      </c>
      <c r="I38" s="33" t="n">
        <f aca="false">IF(I5=Assumptions!$F$54-1,Assumptions!$F$55,0)</f>
        <v>0</v>
      </c>
      <c r="J38" s="33" t="n">
        <f aca="false">IF(J5=Assumptions!$F$54-1,Assumptions!$F$55,0)</f>
        <v>0</v>
      </c>
      <c r="K38" s="33" t="n">
        <f aca="false">IF(K5=Assumptions!$F$54-1,Assumptions!$F$55,0)</f>
        <v>0</v>
      </c>
      <c r="L38" s="33" t="n">
        <f aca="false">IF(L5=Assumptions!$F$54-1,Assumptions!$F$55,0)</f>
        <v>0</v>
      </c>
    </row>
    <row r="39" customFormat="false" ht="15" hidden="false" customHeight="false" outlineLevel="0" collapsed="false">
      <c r="A39" s="7" t="s">
        <v>236</v>
      </c>
      <c r="B39" s="2"/>
      <c r="C39" s="33" t="n">
        <f aca="false">'Debt Schedule'!C92</f>
        <v>783000</v>
      </c>
      <c r="D39" s="33" t="n">
        <f aca="false">'Debt Schedule'!D92</f>
        <v>752435.86837126</v>
      </c>
      <c r="E39" s="33" t="n">
        <f aca="false">'Debt Schedule'!E92</f>
        <v>719655.837199436</v>
      </c>
      <c r="F39" s="33" t="n">
        <f aca="false">'Debt Schedule'!F92</f>
        <v>1467499.25376765</v>
      </c>
      <c r="G39" s="33" t="n">
        <f aca="false">'Debt Schedule'!G92</f>
        <v>1399229.68640833</v>
      </c>
      <c r="H39" s="33" t="n">
        <f aca="false">'Debt Schedule'!H92</f>
        <v>1326010.57541545</v>
      </c>
      <c r="I39" s="33" t="n">
        <f aca="false">'Debt Schedule'!I92</f>
        <v>2030483.07887559</v>
      </c>
      <c r="J39" s="33" t="n">
        <f aca="false">'Debt Schedule'!J92</f>
        <v>1915698.20720785</v>
      </c>
      <c r="K39" s="33" t="n">
        <f aca="false">'Debt Schedule'!K92</f>
        <v>1792591.4323442</v>
      </c>
      <c r="L39" s="33" t="n">
        <f aca="false">'Debt Schedule'!L92</f>
        <v>1660559.41630293</v>
      </c>
    </row>
    <row r="40" customFormat="false" ht="15" hidden="false" customHeight="false" outlineLevel="0" collapsed="false">
      <c r="A40" s="7" t="s">
        <v>237</v>
      </c>
      <c r="B40" s="2"/>
      <c r="C40" s="33" t="n">
        <f aca="false">'Debt Schedule'!C93</f>
        <v>421574.229361937</v>
      </c>
      <c r="D40" s="33" t="n">
        <f aca="false">'Debt Schedule'!D93</f>
        <v>452138.360990678</v>
      </c>
      <c r="E40" s="33" t="n">
        <f aca="false">'Debt Schedule'!E93</f>
        <v>484918.392162502</v>
      </c>
      <c r="F40" s="33" t="n">
        <f aca="false">'Debt Schedule'!F93</f>
        <v>941649.204956221</v>
      </c>
      <c r="G40" s="33" t="n">
        <f aca="false">'Debt Schedule'!G93</f>
        <v>1009918.77231555</v>
      </c>
      <c r="H40" s="33" t="n">
        <f aca="false">'Debt Schedule'!H93</f>
        <v>1083137.88330842</v>
      </c>
      <c r="I40" s="33" t="n">
        <f aca="false">'Debt Schedule'!I93</f>
        <v>1583239.60921022</v>
      </c>
      <c r="J40" s="33" t="n">
        <f aca="false">'Debt Schedule'!J93</f>
        <v>1698024.48087796</v>
      </c>
      <c r="K40" s="33" t="n">
        <f aca="false">'Debt Schedule'!K93</f>
        <v>1821131.25574162</v>
      </c>
      <c r="L40" s="33" t="n">
        <f aca="false">'Debt Schedule'!L93</f>
        <v>1953163.27178288</v>
      </c>
    </row>
    <row r="41" customFormat="false" ht="15" hidden="false" customHeight="false" outlineLevel="0" collapsed="false">
      <c r="A41" s="12" t="s">
        <v>193</v>
      </c>
      <c r="B41" s="2"/>
      <c r="C41" s="34" t="n">
        <f aca="false">C36-C38-C39-C40</f>
        <v>-1344309.22936194</v>
      </c>
      <c r="D41" s="34" t="n">
        <f aca="false">D36-D38-D39-D40</f>
        <v>-860121.629361937</v>
      </c>
      <c r="E41" s="34" t="n">
        <f aca="false">E36-E38-E39-E40</f>
        <v>-1014523.08436194</v>
      </c>
      <c r="F41" s="34" t="n">
        <f aca="false">F36-F38-F39-F40</f>
        <v>-1397201.30219888</v>
      </c>
      <c r="G41" s="34" t="n">
        <f aca="false">G36-G38-G39-G40</f>
        <v>-475411.772262873</v>
      </c>
      <c r="H41" s="34" t="n">
        <f aca="false">H36-H38-H39-H40</f>
        <v>-69617.4493790455</v>
      </c>
      <c r="I41" s="34" t="n">
        <f aca="false">I36-I38-I39-I40</f>
        <v>-168732.556062582</v>
      </c>
      <c r="J41" s="34" t="n">
        <f aca="false">J36-J38-J39-J40</f>
        <v>1000948.53606811</v>
      </c>
      <c r="K41" s="34" t="n">
        <f aca="false">K36-K38-K39-K40</f>
        <v>1519419.69720901</v>
      </c>
      <c r="L41" s="34" t="n">
        <f aca="false">L36-L38-L39-L40</f>
        <v>1966987.93512944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16" t="s">
        <v>238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customFormat="false" ht="15" hidden="false" customHeight="false" outlineLevel="0" collapsed="false">
      <c r="A44" s="7" t="s">
        <v>239</v>
      </c>
      <c r="B44" s="2"/>
      <c r="C44" s="38" t="n">
        <f aca="false">C11</f>
        <v>1</v>
      </c>
      <c r="D44" s="38" t="n">
        <f aca="false">D11-C11</f>
        <v>0</v>
      </c>
      <c r="E44" s="38" t="n">
        <f aca="false">E11-D11</f>
        <v>0</v>
      </c>
      <c r="F44" s="38" t="n">
        <f aca="false">F11-E11</f>
        <v>1</v>
      </c>
      <c r="G44" s="38" t="n">
        <f aca="false">G11-F11</f>
        <v>0</v>
      </c>
      <c r="H44" s="38" t="n">
        <f aca="false">H11-G11</f>
        <v>0</v>
      </c>
      <c r="I44" s="38" t="n">
        <f aca="false">I11-H11</f>
        <v>1</v>
      </c>
      <c r="J44" s="38" t="n">
        <f aca="false">J11-I11</f>
        <v>0</v>
      </c>
      <c r="K44" s="38" t="n">
        <f aca="false">K11-J11</f>
        <v>0</v>
      </c>
      <c r="L44" s="38" t="n">
        <f aca="false">L11-K11</f>
        <v>0</v>
      </c>
    </row>
    <row r="45" customFormat="false" ht="15" hidden="false" customHeight="false" outlineLevel="0" collapsed="false">
      <c r="A45" s="7" t="s">
        <v>240</v>
      </c>
      <c r="B45" s="2"/>
      <c r="C45" s="33" t="n">
        <f aca="false">Assumptions!$F$7*(1+Assumptions!$F$8)^C6</f>
        <v>13500000</v>
      </c>
      <c r="D45" s="33" t="n">
        <f aca="false">Assumptions!$F$7*(1+Assumptions!$F$8)^D6</f>
        <v>13500000</v>
      </c>
      <c r="E45" s="33" t="n">
        <f aca="false">Assumptions!$F$7*(1+Assumptions!$F$8)^E6</f>
        <v>13500000</v>
      </c>
      <c r="F45" s="33" t="n">
        <f aca="false">Assumptions!$F$7*(1+Assumptions!$F$8)^F6</f>
        <v>13500000</v>
      </c>
      <c r="G45" s="33" t="n">
        <f aca="false">Assumptions!$F$7*(1+Assumptions!$F$8)^G6</f>
        <v>13500000</v>
      </c>
      <c r="H45" s="33" t="n">
        <f aca="false">Assumptions!$F$7*(1+Assumptions!$F$8)^H6</f>
        <v>13500000</v>
      </c>
      <c r="I45" s="33" t="n">
        <f aca="false">Assumptions!$F$7*(1+Assumptions!$F$8)^I6</f>
        <v>13500000</v>
      </c>
      <c r="J45" s="33" t="n">
        <f aca="false">Assumptions!$F$7*(1+Assumptions!$F$8)^J6</f>
        <v>13500000</v>
      </c>
      <c r="K45" s="33" t="n">
        <f aca="false">Assumptions!$F$7*(1+Assumptions!$F$8)^K6</f>
        <v>13500000</v>
      </c>
      <c r="L45" s="33" t="n">
        <f aca="false">Assumptions!$F$7*(1+Assumptions!$F$8)^L6</f>
        <v>13500000</v>
      </c>
    </row>
    <row r="46" customFormat="false" ht="15" hidden="false" customHeight="false" outlineLevel="0" collapsed="false">
      <c r="A46" s="7" t="s">
        <v>241</v>
      </c>
      <c r="B46" s="2"/>
      <c r="C46" s="35" t="n">
        <f aca="false">C44*C45</f>
        <v>13500000</v>
      </c>
      <c r="D46" s="35" t="n">
        <f aca="false">D44*D45</f>
        <v>0</v>
      </c>
      <c r="E46" s="35" t="n">
        <f aca="false">E44*E45</f>
        <v>0</v>
      </c>
      <c r="F46" s="35" t="n">
        <f aca="false">F44*F45</f>
        <v>13500000</v>
      </c>
      <c r="G46" s="35" t="n">
        <f aca="false">G44*G45</f>
        <v>0</v>
      </c>
      <c r="H46" s="35" t="n">
        <f aca="false">H44*H45</f>
        <v>0</v>
      </c>
      <c r="I46" s="35" t="n">
        <f aca="false">I44*I45</f>
        <v>13500000</v>
      </c>
      <c r="J46" s="35" t="n">
        <f aca="false">J44*J45</f>
        <v>0</v>
      </c>
      <c r="K46" s="35" t="n">
        <f aca="false">K44*K45</f>
        <v>0</v>
      </c>
      <c r="L46" s="35" t="n">
        <f aca="false">L44*L45</f>
        <v>0</v>
      </c>
    </row>
    <row r="47" customFormat="false" ht="15" hidden="false" customHeight="false" outlineLevel="0" collapsed="false">
      <c r="A47" s="7" t="s">
        <v>242</v>
      </c>
      <c r="B47" s="2"/>
      <c r="C47" s="33" t="n">
        <f aca="false">-C46*Assumptions!$F$16</f>
        <v>-10800000</v>
      </c>
      <c r="D47" s="33" t="n">
        <f aca="false">-D46*Assumptions!$F$16</f>
        <v>-0</v>
      </c>
      <c r="E47" s="33" t="n">
        <f aca="false">-E46*Assumptions!$F$16</f>
        <v>-0</v>
      </c>
      <c r="F47" s="33" t="n">
        <f aca="false">-F46*Assumptions!$F$16</f>
        <v>-10800000</v>
      </c>
      <c r="G47" s="33" t="n">
        <f aca="false">-G46*Assumptions!$F$16</f>
        <v>-0</v>
      </c>
      <c r="H47" s="33" t="n">
        <f aca="false">-H46*Assumptions!$F$16</f>
        <v>-0</v>
      </c>
      <c r="I47" s="33" t="n">
        <f aca="false">-I46*Assumptions!$F$16</f>
        <v>-10800000</v>
      </c>
      <c r="J47" s="33" t="n">
        <f aca="false">-J46*Assumptions!$F$16</f>
        <v>-0</v>
      </c>
      <c r="K47" s="33" t="n">
        <f aca="false">-K46*Assumptions!$F$16</f>
        <v>-0</v>
      </c>
      <c r="L47" s="33" t="n">
        <f aca="false">-L46*Assumptions!$F$16</f>
        <v>-0</v>
      </c>
    </row>
    <row r="48" customFormat="false" ht="15" hidden="false" customHeight="false" outlineLevel="0" collapsed="false">
      <c r="A48" s="7" t="s">
        <v>243</v>
      </c>
      <c r="B48" s="2"/>
      <c r="C48" s="33" t="n">
        <f aca="false">C44*(Assumptions!$F$9+Assumptions!$F$10+Assumptions!$F$11+Assumptions!$F$12+Assumptions!$F$13)*C8</f>
        <v>600000</v>
      </c>
      <c r="D48" s="33" t="n">
        <f aca="false">D44*(Assumptions!$F$9+Assumptions!$F$10+Assumptions!$F$11+Assumptions!$F$12+Assumptions!$F$13)*D8</f>
        <v>0</v>
      </c>
      <c r="E48" s="33" t="n">
        <f aca="false">E44*(Assumptions!$F$9+Assumptions!$F$10+Assumptions!$F$11+Assumptions!$F$12+Assumptions!$F$13)*E8</f>
        <v>0</v>
      </c>
      <c r="F48" s="33" t="n">
        <f aca="false">F44*(Assumptions!$F$9+Assumptions!$F$10+Assumptions!$F$11+Assumptions!$F$12+Assumptions!$F$13)*F8</f>
        <v>655636.2</v>
      </c>
      <c r="G48" s="33" t="n">
        <f aca="false">G44*(Assumptions!$F$9+Assumptions!$F$10+Assumptions!$F$11+Assumptions!$F$12+Assumptions!$F$13)*G8</f>
        <v>0</v>
      </c>
      <c r="H48" s="33" t="n">
        <f aca="false">H44*(Assumptions!$F$9+Assumptions!$F$10+Assumptions!$F$11+Assumptions!$F$12+Assumptions!$F$13)*H8</f>
        <v>0</v>
      </c>
      <c r="I48" s="33" t="n">
        <f aca="false">I44*(Assumptions!$F$9+Assumptions!$F$10+Assumptions!$F$11+Assumptions!$F$12+Assumptions!$F$13)*I8</f>
        <v>716431.3779174</v>
      </c>
      <c r="J48" s="33" t="n">
        <f aca="false">J44*(Assumptions!$F$9+Assumptions!$F$10+Assumptions!$F$11+Assumptions!$F$12+Assumptions!$F$13)*J8</f>
        <v>0</v>
      </c>
      <c r="K48" s="33" t="n">
        <f aca="false">K44*(Assumptions!$F$9+Assumptions!$F$10+Assumptions!$F$11+Assumptions!$F$12+Assumptions!$F$13)*K8</f>
        <v>0</v>
      </c>
      <c r="L48" s="33" t="n">
        <f aca="false">L44*(Assumptions!$F$9+Assumptions!$F$10+Assumptions!$F$11+Assumptions!$F$12+Assumptions!$F$13)*L8</f>
        <v>0</v>
      </c>
    </row>
    <row r="49" customFormat="false" ht="15" hidden="false" customHeight="false" outlineLevel="0" collapsed="false">
      <c r="A49" s="7" t="s">
        <v>244</v>
      </c>
      <c r="B49" s="2"/>
      <c r="C49" s="33" t="n">
        <f aca="false">Assumptions!$F$14</f>
        <v>50000</v>
      </c>
      <c r="D49" s="35" t="n">
        <f aca="false">0</f>
        <v>0</v>
      </c>
      <c r="E49" s="35" t="n">
        <f aca="false">0</f>
        <v>0</v>
      </c>
      <c r="F49" s="35" t="n">
        <f aca="false">0</f>
        <v>0</v>
      </c>
      <c r="G49" s="35" t="n">
        <f aca="false">0</f>
        <v>0</v>
      </c>
      <c r="H49" s="35" t="n">
        <f aca="false">0</f>
        <v>0</v>
      </c>
      <c r="I49" s="35" t="n">
        <f aca="false">0</f>
        <v>0</v>
      </c>
      <c r="J49" s="35" t="n">
        <f aca="false">0</f>
        <v>0</v>
      </c>
      <c r="K49" s="35" t="n">
        <f aca="false">0</f>
        <v>0</v>
      </c>
      <c r="L49" s="35" t="n">
        <f aca="false">0</f>
        <v>0</v>
      </c>
    </row>
    <row r="50" customFormat="false" ht="15" hidden="false" customHeight="false" outlineLevel="0" collapsed="false">
      <c r="A50" s="12" t="s">
        <v>245</v>
      </c>
      <c r="B50" s="2"/>
      <c r="C50" s="34" t="n">
        <f aca="false">SUM(C46:C49)</f>
        <v>3350000</v>
      </c>
      <c r="D50" s="34" t="n">
        <f aca="false">SUM(D46:D49)</f>
        <v>0</v>
      </c>
      <c r="E50" s="34" t="n">
        <f aca="false">SUM(E46:E49)</f>
        <v>0</v>
      </c>
      <c r="F50" s="34" t="n">
        <f aca="false">SUM(F46:F49)</f>
        <v>3355636.2</v>
      </c>
      <c r="G50" s="34" t="n">
        <f aca="false">SUM(G46:G49)</f>
        <v>0</v>
      </c>
      <c r="H50" s="34" t="n">
        <f aca="false">SUM(H46:H49)</f>
        <v>0</v>
      </c>
      <c r="I50" s="34" t="n">
        <f aca="false">SUM(I46:I49)</f>
        <v>3416431.3779174</v>
      </c>
      <c r="J50" s="34" t="n">
        <f aca="false">SUM(J46:J49)</f>
        <v>0</v>
      </c>
      <c r="K50" s="34" t="n">
        <f aca="false">SUM(K46:K49)</f>
        <v>0</v>
      </c>
      <c r="L50" s="34" t="n">
        <f aca="false">SUM(L46:L49)</f>
        <v>0</v>
      </c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7" t="s">
        <v>246</v>
      </c>
      <c r="B52" s="2"/>
      <c r="C52" s="35" t="n">
        <f aca="false">0</f>
        <v>0</v>
      </c>
      <c r="D52" s="35" t="n">
        <f aca="false">C55</f>
        <v>618625</v>
      </c>
      <c r="E52" s="35" t="n">
        <f aca="false">D55</f>
        <v>637183.75</v>
      </c>
      <c r="F52" s="35" t="n">
        <f aca="false">E55</f>
        <v>656299.2625</v>
      </c>
      <c r="G52" s="35" t="n">
        <f aca="false">F55</f>
        <v>1351976.48075</v>
      </c>
      <c r="H52" s="35" t="n">
        <f aca="false">G55</f>
        <v>1392535.7751725</v>
      </c>
      <c r="I52" s="35" t="n">
        <f aca="false">H55</f>
        <v>1434311.84842768</v>
      </c>
      <c r="J52" s="35" t="n">
        <f aca="false">I55</f>
        <v>2216011.80582076</v>
      </c>
      <c r="K52" s="35" t="n">
        <f aca="false">J55</f>
        <v>3216960.34188887</v>
      </c>
      <c r="L52" s="35" t="n">
        <f aca="false">K55</f>
        <v>4736380.03909788</v>
      </c>
    </row>
    <row r="53" customFormat="false" ht="15" hidden="false" customHeight="false" outlineLevel="0" collapsed="false">
      <c r="A53" s="7" t="s">
        <v>247</v>
      </c>
      <c r="B53" s="2"/>
      <c r="C53" s="33" t="n">
        <f aca="false">C11*'Unit Economics'!$F$38*C8</f>
        <v>618625</v>
      </c>
      <c r="D53" s="33" t="n">
        <f aca="false">D11*'Unit Economics'!$F$38*D8</f>
        <v>637183.75</v>
      </c>
      <c r="E53" s="33" t="n">
        <f aca="false">E11*'Unit Economics'!$F$38*E8</f>
        <v>656299.2625</v>
      </c>
      <c r="F53" s="33" t="n">
        <f aca="false">F11*'Unit Economics'!$F$38*F8</f>
        <v>1351976.48075</v>
      </c>
      <c r="G53" s="33" t="n">
        <f aca="false">G11*'Unit Economics'!$F$38*G8</f>
        <v>1392535.7751725</v>
      </c>
      <c r="H53" s="33" t="n">
        <f aca="false">H11*'Unit Economics'!$F$38*H8</f>
        <v>1434311.84842768</v>
      </c>
      <c r="I53" s="33" t="n">
        <f aca="false">I11*'Unit Economics'!$F$38*I8</f>
        <v>2216011.80582076</v>
      </c>
      <c r="J53" s="33" t="n">
        <f aca="false">J11*'Unit Economics'!$F$38*J8</f>
        <v>2282492.15999538</v>
      </c>
      <c r="K53" s="33" t="n">
        <f aca="false">K11*'Unit Economics'!$F$38*K8</f>
        <v>2350966.92479524</v>
      </c>
      <c r="L53" s="33" t="n">
        <f aca="false">L11*'Unit Economics'!$F$38*L8</f>
        <v>2421495.9325391</v>
      </c>
    </row>
    <row r="54" customFormat="false" ht="15" hidden="false" customHeight="false" outlineLevel="0" collapsed="false">
      <c r="A54" s="12" t="s">
        <v>248</v>
      </c>
      <c r="B54" s="2"/>
      <c r="C54" s="19" t="n">
        <f aca="false">MAX(0,C53-(C52+C41-C50))</f>
        <v>5312934.22936194</v>
      </c>
      <c r="D54" s="19" t="n">
        <f aca="false">MAX(0,D53-(D52+D41-D50))</f>
        <v>878680.379361937</v>
      </c>
      <c r="E54" s="19" t="n">
        <f aca="false">MAX(0,E53-(E52+E41-E50))</f>
        <v>1033638.59686194</v>
      </c>
      <c r="F54" s="19" t="n">
        <f aca="false">MAX(0,F53-(F52+F41-F50))</f>
        <v>5448514.72044888</v>
      </c>
      <c r="G54" s="19" t="n">
        <f aca="false">MAX(0,G53-(G52+G41-G50))</f>
        <v>515971.066685373</v>
      </c>
      <c r="H54" s="19" t="n">
        <f aca="false">MAX(0,H53-(H52+H41-H50))</f>
        <v>111393.522634221</v>
      </c>
      <c r="I54" s="19" t="n">
        <f aca="false">MAX(0,I53-(I52+I41-I50))</f>
        <v>4366863.89137306</v>
      </c>
      <c r="J54" s="19" t="n">
        <f aca="false">MAX(0,J53-(J52+J41-J50))</f>
        <v>0</v>
      </c>
      <c r="K54" s="19" t="n">
        <f aca="false">MAX(0,K53-(K52+K41-K50))</f>
        <v>0</v>
      </c>
      <c r="L54" s="19" t="n">
        <f aca="false">MAX(0,L53-(L52+L41-L50))</f>
        <v>0</v>
      </c>
    </row>
    <row r="55" customFormat="false" ht="15" hidden="false" customHeight="false" outlineLevel="0" collapsed="false">
      <c r="A55" s="12" t="s">
        <v>249</v>
      </c>
      <c r="B55" s="2"/>
      <c r="C55" s="34" t="n">
        <f aca="false">C52+C41-C50+C54</f>
        <v>618625</v>
      </c>
      <c r="D55" s="34" t="n">
        <f aca="false">D52+D41-D50+D54</f>
        <v>637183.75</v>
      </c>
      <c r="E55" s="34" t="n">
        <f aca="false">E52+E41-E50+E54</f>
        <v>656299.2625</v>
      </c>
      <c r="F55" s="34" t="n">
        <f aca="false">F52+F41-F50+F54</f>
        <v>1351976.48075</v>
      </c>
      <c r="G55" s="34" t="n">
        <f aca="false">G52+G41-G50+G54</f>
        <v>1392535.7751725</v>
      </c>
      <c r="H55" s="34" t="n">
        <f aca="false">H52+H41-H50+H54</f>
        <v>1434311.84842768</v>
      </c>
      <c r="I55" s="34" t="n">
        <f aca="false">I52+I41-I50+I54</f>
        <v>2216011.80582076</v>
      </c>
      <c r="J55" s="34" t="n">
        <f aca="false">J52+J41-J50+J54</f>
        <v>3216960.34188887</v>
      </c>
      <c r="K55" s="34" t="n">
        <f aca="false">K52+K41-K50+K54</f>
        <v>4736380.03909788</v>
      </c>
      <c r="L55" s="34" t="n">
        <f aca="false">L52+L41-L50+L54</f>
        <v>6703367.97422733</v>
      </c>
    </row>
    <row r="56" customFormat="false" ht="15" hidden="false" customHeight="false" outlineLevel="0" collapsed="false">
      <c r="A56" s="12" t="s">
        <v>250</v>
      </c>
      <c r="B56" s="2"/>
      <c r="C56" s="19" t="n">
        <f aca="false">C54</f>
        <v>5312934.22936194</v>
      </c>
      <c r="D56" s="19" t="n">
        <f aca="false">C56+D54</f>
        <v>6191614.60872388</v>
      </c>
      <c r="E56" s="19" t="n">
        <f aca="false">D56+E54</f>
        <v>7225253.20558581</v>
      </c>
      <c r="F56" s="19" t="n">
        <f aca="false">E56+F54</f>
        <v>12673767.9260347</v>
      </c>
      <c r="G56" s="19" t="n">
        <f aca="false">F56+G54</f>
        <v>13189738.9927201</v>
      </c>
      <c r="H56" s="19" t="n">
        <f aca="false">G56+H54</f>
        <v>13301132.5153543</v>
      </c>
      <c r="I56" s="19" t="n">
        <f aca="false">H56+I54</f>
        <v>17667996.4067273</v>
      </c>
      <c r="J56" s="19" t="n">
        <f aca="false">I56+J54</f>
        <v>17667996.4067273</v>
      </c>
      <c r="K56" s="19" t="n">
        <f aca="false">J56+K54</f>
        <v>17667996.4067273</v>
      </c>
      <c r="L56" s="19" t="n">
        <f aca="false">K56+L54</f>
        <v>17667996.4067273</v>
      </c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16" t="s">
        <v>251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customFormat="false" ht="15" hidden="false" customHeight="false" outlineLevel="0" collapsed="false">
      <c r="A59" s="7" t="s">
        <v>252</v>
      </c>
      <c r="B59" s="2"/>
      <c r="C59" s="33" t="n">
        <f aca="false">'Debt Schedule'!C95</f>
        <v>12825000</v>
      </c>
      <c r="D59" s="33" t="n">
        <f aca="false">'Debt Schedule'!D95</f>
        <v>12183750</v>
      </c>
      <c r="E59" s="33" t="n">
        <f aca="false">'Debt Schedule'!E95</f>
        <v>11574562.5</v>
      </c>
      <c r="F59" s="33" t="n">
        <f aca="false">'Debt Schedule'!F95</f>
        <v>23820834.375</v>
      </c>
      <c r="G59" s="33" t="n">
        <f aca="false">'Debt Schedule'!G95</f>
        <v>22629792.65625</v>
      </c>
      <c r="H59" s="33" t="n">
        <f aca="false">'Debt Schedule'!H95</f>
        <v>21498303.0234375</v>
      </c>
      <c r="I59" s="33" t="n">
        <f aca="false">'Debt Schedule'!I95</f>
        <v>33248387.8722656</v>
      </c>
      <c r="J59" s="33" t="n">
        <f aca="false">'Debt Schedule'!J95</f>
        <v>31585968.4786523</v>
      </c>
      <c r="K59" s="33" t="n">
        <f aca="false">'Debt Schedule'!K95</f>
        <v>30006670.0547197</v>
      </c>
      <c r="L59" s="33" t="n">
        <f aca="false">'Debt Schedule'!L95</f>
        <v>28506336.5519837</v>
      </c>
    </row>
    <row r="60" customFormat="false" ht="15" hidden="false" customHeight="false" outlineLevel="0" collapsed="false">
      <c r="A60" s="7" t="s">
        <v>253</v>
      </c>
      <c r="B60" s="2"/>
      <c r="C60" s="33" t="n">
        <f aca="false">'Debt Schedule'!C94</f>
        <v>10378425.7706381</v>
      </c>
      <c r="D60" s="33" t="n">
        <f aca="false">'Debt Schedule'!D94</f>
        <v>9926287.40964739</v>
      </c>
      <c r="E60" s="33" t="n">
        <f aca="false">'Debt Schedule'!E94</f>
        <v>9441369.01748489</v>
      </c>
      <c r="F60" s="33" t="n">
        <f aca="false">'Debt Schedule'!F94</f>
        <v>19299719.8125287</v>
      </c>
      <c r="G60" s="33" t="n">
        <f aca="false">'Debt Schedule'!G94</f>
        <v>18289801.0402131</v>
      </c>
      <c r="H60" s="33" t="n">
        <f aca="false">'Debt Schedule'!H94</f>
        <v>17206663.1569047</v>
      </c>
      <c r="I60" s="33" t="n">
        <f aca="false">'Debt Schedule'!I94</f>
        <v>26423423.5476945</v>
      </c>
      <c r="J60" s="33" t="n">
        <f aca="false">'Debt Schedule'!J94</f>
        <v>24725399.0668165</v>
      </c>
      <c r="K60" s="33" t="n">
        <f aca="false">'Debt Schedule'!K94</f>
        <v>22904267.8110749</v>
      </c>
      <c r="L60" s="33" t="n">
        <f aca="false">'Debt Schedule'!L94</f>
        <v>20951104.539292</v>
      </c>
    </row>
    <row r="61" customFormat="false" ht="15" hidden="false" customHeight="false" outlineLevel="0" collapsed="false">
      <c r="A61" s="12" t="s">
        <v>254</v>
      </c>
      <c r="B61" s="2"/>
      <c r="C61" s="34" t="n">
        <f aca="false">C59+C55-C60</f>
        <v>3065199.22936194</v>
      </c>
      <c r="D61" s="34" t="n">
        <f aca="false">D59+D55-D60</f>
        <v>2894646.34035261</v>
      </c>
      <c r="E61" s="34" t="n">
        <f aca="false">E59+E55-E60</f>
        <v>2789492.74501511</v>
      </c>
      <c r="F61" s="34" t="n">
        <f aca="false">F59+F55-F60</f>
        <v>5873091.04322134</v>
      </c>
      <c r="G61" s="34" t="n">
        <f aca="false">G59+G55-G60</f>
        <v>5732527.39120938</v>
      </c>
      <c r="H61" s="34" t="n">
        <f aca="false">H59+H55-H60</f>
        <v>5725951.71496048</v>
      </c>
      <c r="I61" s="34" t="n">
        <f aca="false">I59+I55-I60</f>
        <v>9040976.1303919</v>
      </c>
      <c r="J61" s="34" t="n">
        <f aca="false">J59+J55-J60</f>
        <v>10077529.7537247</v>
      </c>
      <c r="K61" s="34" t="n">
        <f aca="false">K59+K55-K60</f>
        <v>11838782.2827427</v>
      </c>
      <c r="L61" s="34" t="n">
        <f aca="false">L59+L55-L60</f>
        <v>14258599.986919</v>
      </c>
    </row>
    <row r="62" customFormat="false" ht="15" hidden="false" customHeight="false" outlineLevel="0" collapsed="false">
      <c r="A62" s="7" t="s">
        <v>255</v>
      </c>
      <c r="B62" s="2"/>
      <c r="C62" s="36" t="n">
        <f aca="false">IF(C59=0,0,C60/C59)</f>
        <v>0.809233978217393</v>
      </c>
      <c r="D62" s="36" t="n">
        <f aca="false">IF(D59=0,0,D60/D59)</f>
        <v>0.814715289598636</v>
      </c>
      <c r="E62" s="36" t="n">
        <f aca="false">IF(E59=0,0,E60/E59)</f>
        <v>0.815699860576578</v>
      </c>
      <c r="F62" s="36" t="n">
        <f aca="false">IF(F59=0,0,F60/F59)</f>
        <v>0.810203350088515</v>
      </c>
      <c r="G62" s="36" t="n">
        <f aca="false">IF(G59=0,0,G60/G59)</f>
        <v>0.808217791388458</v>
      </c>
      <c r="H62" s="36" t="n">
        <f aca="false">IF(H59=0,0,H60/H59)</f>
        <v>0.80037308703603</v>
      </c>
      <c r="I62" s="36" t="n">
        <f aca="false">IF(I59=0,0,I60/I59)</f>
        <v>0.794727962426586</v>
      </c>
      <c r="J62" s="36" t="n">
        <f aca="false">IF(J59=0,0,J60/J59)</f>
        <v>0.782796927171234</v>
      </c>
      <c r="K62" s="36" t="n">
        <f aca="false">IF(K59=0,0,K60/K59)</f>
        <v>0.763305883968698</v>
      </c>
      <c r="L62" s="36" t="n">
        <f aca="false">IF(L59=0,0,L60/L59)</f>
        <v>0.734963066933764</v>
      </c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16" t="s">
        <v>256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customFormat="false" ht="15" hidden="false" customHeight="false" outlineLevel="0" collapsed="false">
      <c r="A65" s="7" t="s">
        <v>257</v>
      </c>
      <c r="B65" s="2"/>
      <c r="C65" s="33" t="n">
        <f aca="false">C46*Assumptions!$F$65</f>
        <v>13500000</v>
      </c>
      <c r="D65" s="33" t="n">
        <f aca="false">D46*Assumptions!$F$65</f>
        <v>0</v>
      </c>
      <c r="E65" s="33" t="n">
        <f aca="false">E46*Assumptions!$F$65</f>
        <v>0</v>
      </c>
      <c r="F65" s="33" t="n">
        <f aca="false">F46*Assumptions!$F$65</f>
        <v>13500000</v>
      </c>
      <c r="G65" s="33" t="n">
        <f aca="false">G46*Assumptions!$F$65</f>
        <v>0</v>
      </c>
      <c r="H65" s="33" t="n">
        <f aca="false">H46*Assumptions!$F$65</f>
        <v>0</v>
      </c>
      <c r="I65" s="33" t="n">
        <f aca="false">I46*Assumptions!$F$65</f>
        <v>13500000</v>
      </c>
      <c r="J65" s="33" t="n">
        <f aca="false">J46*Assumptions!$F$65</f>
        <v>0</v>
      </c>
      <c r="K65" s="33" t="n">
        <f aca="false">K46*Assumptions!$F$65</f>
        <v>0</v>
      </c>
      <c r="L65" s="33" t="n">
        <f aca="false">L46*Assumptions!$F$65</f>
        <v>0</v>
      </c>
    </row>
    <row r="66" customFormat="false" ht="15" hidden="false" customHeight="false" outlineLevel="0" collapsed="false">
      <c r="A66" s="7" t="s">
        <v>258</v>
      </c>
      <c r="B66" s="2"/>
      <c r="C66" s="35" t="n">
        <f aca="false">C36-C38-C39-C65</f>
        <v>-14422735</v>
      </c>
      <c r="D66" s="35" t="n">
        <f aca="false">D36-D38-D39-D65</f>
        <v>-407983.268371259</v>
      </c>
      <c r="E66" s="35" t="n">
        <f aca="false">E36-E38-E39-E65</f>
        <v>-529604.692199436</v>
      </c>
      <c r="F66" s="35" t="n">
        <f aca="false">F36-F38-F39-F65</f>
        <v>-13955552.0972427</v>
      </c>
      <c r="G66" s="35" t="n">
        <f aca="false">G36-G38-G39-G65</f>
        <v>534507.000052674</v>
      </c>
      <c r="H66" s="35" t="n">
        <f aca="false">H36-H38-H39-H65</f>
        <v>1013520.43392938</v>
      </c>
      <c r="I66" s="35" t="n">
        <f aca="false">I36-I38-I39-I65</f>
        <v>-12085492.9468524</v>
      </c>
      <c r="J66" s="35" t="n">
        <f aca="false">J36-J38-J39-J65</f>
        <v>2698973.01694608</v>
      </c>
      <c r="K66" s="35" t="n">
        <f aca="false">K36-K38-K39-K65</f>
        <v>3340550.95295063</v>
      </c>
      <c r="L66" s="35" t="n">
        <f aca="false">L36-L38-L39-L65</f>
        <v>3920151.20691232</v>
      </c>
    </row>
    <row r="67" customFormat="false" ht="15" hidden="false" customHeight="false" outlineLevel="0" collapsed="false">
      <c r="A67" s="12" t="s">
        <v>259</v>
      </c>
      <c r="B67" s="2"/>
      <c r="C67" s="8" t="n">
        <f aca="false">-C66*Assumptions!$F$64</f>
        <v>5336411.95</v>
      </c>
      <c r="D67" s="8" t="n">
        <f aca="false">-D66*Assumptions!$F$64</f>
        <v>150953.809297366</v>
      </c>
      <c r="E67" s="8" t="n">
        <f aca="false">-E66*Assumptions!$F$64</f>
        <v>195953.736113791</v>
      </c>
      <c r="F67" s="8" t="n">
        <f aca="false">-F66*Assumptions!$F$64</f>
        <v>5163554.27597978</v>
      </c>
      <c r="G67" s="8" t="n">
        <f aca="false">-G66*Assumptions!$F$64</f>
        <v>-197767.590019489</v>
      </c>
      <c r="H67" s="8" t="n">
        <f aca="false">-H66*Assumptions!$F$64</f>
        <v>-375002.56055387</v>
      </c>
      <c r="I67" s="8" t="n">
        <f aca="false">-I66*Assumptions!$F$64</f>
        <v>4471632.39033537</v>
      </c>
      <c r="J67" s="8" t="n">
        <f aca="false">-J66*Assumptions!$F$64</f>
        <v>-998620.016270048</v>
      </c>
      <c r="K67" s="8" t="n">
        <f aca="false">-K66*Assumptions!$F$64</f>
        <v>-1236003.85259173</v>
      </c>
      <c r="L67" s="8" t="n">
        <f aca="false">-L66*Assumptions!$F$64</f>
        <v>-1450455.94655756</v>
      </c>
    </row>
    <row r="68" customFormat="false" ht="15" hidden="false" customHeight="false" outlineLevel="0" collapsed="false">
      <c r="A68" s="3" t="s">
        <v>260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16" t="s">
        <v>261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customFormat="false" ht="15" hidden="false" customHeight="false" outlineLevel="0" collapsed="false">
      <c r="A71" s="7" t="s">
        <v>262</v>
      </c>
      <c r="B71" s="2"/>
      <c r="C71" s="39" t="n">
        <f aca="false">IF(C5=Assumptions!$F$60,1,0)</f>
        <v>0</v>
      </c>
      <c r="D71" s="39" t="n">
        <f aca="false">IF(D5=Assumptions!$F$60,1,0)</f>
        <v>0</v>
      </c>
      <c r="E71" s="39" t="n">
        <f aca="false">IF(E5=Assumptions!$F$60,1,0)</f>
        <v>0</v>
      </c>
      <c r="F71" s="39" t="n">
        <f aca="false">IF(F5=Assumptions!$F$60,1,0)</f>
        <v>0</v>
      </c>
      <c r="G71" s="39" t="n">
        <f aca="false">IF(G5=Assumptions!$F$60,1,0)</f>
        <v>0</v>
      </c>
      <c r="H71" s="39" t="n">
        <f aca="false">IF(H5=Assumptions!$F$60,1,0)</f>
        <v>0</v>
      </c>
      <c r="I71" s="39" t="n">
        <f aca="false">IF(I5=Assumptions!$F$60,1,0)</f>
        <v>0</v>
      </c>
      <c r="J71" s="39" t="n">
        <f aca="false">IF(J5=Assumptions!$F$60,1,0)</f>
        <v>0</v>
      </c>
      <c r="K71" s="39" t="n">
        <f aca="false">IF(K5=Assumptions!$F$60,1,0)</f>
        <v>0</v>
      </c>
      <c r="L71" s="39" t="n">
        <f aca="false">IF(L5=Assumptions!$F$60,1,0)</f>
        <v>1</v>
      </c>
    </row>
    <row r="72" customFormat="false" ht="15" hidden="false" customHeight="false" outlineLevel="0" collapsed="false">
      <c r="A72" s="12" t="s">
        <v>263</v>
      </c>
      <c r="B72" s="2"/>
      <c r="C72" s="8" t="n">
        <f aca="false">IF(C5&gt;Assumptions!$F$60,0,-C54+C71*Exit!$C$15)</f>
        <v>-5312934.22936194</v>
      </c>
      <c r="D72" s="8" t="n">
        <f aca="false">IF(D5&gt;Assumptions!$F$60,0,-D54+D71*Exit!$C$15)</f>
        <v>-878680.379361937</v>
      </c>
      <c r="E72" s="8" t="n">
        <f aca="false">IF(E5&gt;Assumptions!$F$60,0,-E54+E71*Exit!$C$15)</f>
        <v>-1033638.59686194</v>
      </c>
      <c r="F72" s="8" t="n">
        <f aca="false">IF(F5&gt;Assumptions!$F$60,0,-F54+F71*Exit!$C$15)</f>
        <v>-5448514.72044888</v>
      </c>
      <c r="G72" s="8" t="n">
        <f aca="false">IF(G5&gt;Assumptions!$F$60,0,-G54+G71*Exit!$C$15)</f>
        <v>-515971.066685373</v>
      </c>
      <c r="H72" s="8" t="n">
        <f aca="false">IF(H5&gt;Assumptions!$F$60,0,-H54+H71*Exit!$C$15)</f>
        <v>-111393.522634221</v>
      </c>
      <c r="I72" s="8" t="n">
        <f aca="false">IF(I5&gt;Assumptions!$F$60,0,-I54+I71*Exit!$C$15)</f>
        <v>-4366863.89137306</v>
      </c>
      <c r="J72" s="8" t="n">
        <f aca="false">IF(J5&gt;Assumptions!$F$60,0,-J54+J71*Exit!$C$15)</f>
        <v>0</v>
      </c>
      <c r="K72" s="8" t="n">
        <f aca="false">IF(K5&gt;Assumptions!$F$60,0,-K54+K71*Exit!$C$15)</f>
        <v>0</v>
      </c>
      <c r="L72" s="8" t="n">
        <f aca="false">IF(L5&gt;Assumptions!$F$60,0,-L54+L71*Exit!$C$15)</f>
        <v>31694343.1927229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0"/>
  </cols>
  <sheetData>
    <row r="1" customFormat="false" ht="17.35" hidden="false" customHeight="false" outlineLevel="0" collapsed="false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5" t="s">
        <v>266</v>
      </c>
      <c r="B4" s="6"/>
      <c r="C4" s="6" t="s">
        <v>197</v>
      </c>
      <c r="D4" s="6" t="s">
        <v>198</v>
      </c>
      <c r="E4" s="6" t="s">
        <v>199</v>
      </c>
      <c r="F4" s="6" t="s">
        <v>200</v>
      </c>
      <c r="G4" s="6" t="s">
        <v>201</v>
      </c>
      <c r="H4" s="6" t="s">
        <v>202</v>
      </c>
      <c r="I4" s="6" t="s">
        <v>203</v>
      </c>
      <c r="J4" s="6" t="s">
        <v>204</v>
      </c>
      <c r="K4" s="6" t="s">
        <v>205</v>
      </c>
      <c r="L4" s="6" t="s">
        <v>206</v>
      </c>
    </row>
    <row r="5" customFormat="false" ht="15" hidden="false" customHeight="false" outlineLevel="0" collapsed="false">
      <c r="A5" s="16" t="s">
        <v>212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customFormat="false" ht="15" hidden="false" customHeight="false" outlineLevel="0" collapsed="false">
      <c r="A6" s="7" t="s">
        <v>38</v>
      </c>
      <c r="B6" s="2"/>
      <c r="C6" s="26" t="n">
        <v>1</v>
      </c>
      <c r="D6" s="26" t="n">
        <v>1</v>
      </c>
      <c r="E6" s="26" t="n">
        <v>1</v>
      </c>
      <c r="F6" s="26" t="n">
        <v>1</v>
      </c>
      <c r="G6" s="26" t="n">
        <v>1</v>
      </c>
      <c r="H6" s="26" t="n">
        <v>1</v>
      </c>
      <c r="I6" s="26" t="n">
        <v>1</v>
      </c>
      <c r="J6" s="26" t="n">
        <v>1</v>
      </c>
      <c r="K6" s="26" t="n">
        <v>1</v>
      </c>
      <c r="L6" s="26" t="n">
        <v>1</v>
      </c>
    </row>
    <row r="7" customFormat="false" ht="15" hidden="false" customHeight="false" outlineLevel="0" collapsed="false">
      <c r="A7" s="7" t="s">
        <v>39</v>
      </c>
      <c r="B7" s="2"/>
      <c r="C7" s="26" t="n">
        <v>1</v>
      </c>
      <c r="D7" s="26" t="n">
        <v>1</v>
      </c>
      <c r="E7" s="26" t="n">
        <v>1</v>
      </c>
      <c r="F7" s="26" t="n">
        <v>2</v>
      </c>
      <c r="G7" s="26" t="n">
        <v>2</v>
      </c>
      <c r="H7" s="26" t="n">
        <v>2</v>
      </c>
      <c r="I7" s="26" t="n">
        <v>3</v>
      </c>
      <c r="J7" s="26" t="n">
        <v>3</v>
      </c>
      <c r="K7" s="26" t="n">
        <v>3</v>
      </c>
      <c r="L7" s="26" t="n">
        <v>3</v>
      </c>
    </row>
    <row r="8" customFormat="false" ht="15" hidden="false" customHeight="false" outlineLevel="0" collapsed="false">
      <c r="A8" s="7" t="s">
        <v>40</v>
      </c>
      <c r="B8" s="2"/>
      <c r="C8" s="26" t="n">
        <v>1</v>
      </c>
      <c r="D8" s="26" t="n">
        <v>1</v>
      </c>
      <c r="E8" s="26" t="n">
        <v>2</v>
      </c>
      <c r="F8" s="26" t="n">
        <v>2</v>
      </c>
      <c r="G8" s="26" t="n">
        <v>3</v>
      </c>
      <c r="H8" s="26" t="n">
        <v>3</v>
      </c>
      <c r="I8" s="26" t="n">
        <v>4</v>
      </c>
      <c r="J8" s="26" t="n">
        <v>4</v>
      </c>
      <c r="K8" s="26" t="n">
        <v>4</v>
      </c>
      <c r="L8" s="26" t="n">
        <v>4</v>
      </c>
    </row>
    <row r="9" customFormat="false" ht="15" hidden="false" customHeight="false" outlineLevel="0" collapsed="false">
      <c r="A9" s="12" t="s">
        <v>267</v>
      </c>
      <c r="B9" s="2"/>
      <c r="C9" s="9" t="n">
        <f aca="false">CHOOSE(Assumptions!$C$3,C6,C7,C8)</f>
        <v>1</v>
      </c>
      <c r="D9" s="9" t="n">
        <f aca="false">CHOOSE(Assumptions!$C$3,D6,D7,D8)</f>
        <v>1</v>
      </c>
      <c r="E9" s="9" t="n">
        <f aca="false">CHOOSE(Assumptions!$C$3,E6,E7,E8)</f>
        <v>1</v>
      </c>
      <c r="F9" s="9" t="n">
        <f aca="false">CHOOSE(Assumptions!$C$3,F6,F7,F8)</f>
        <v>2</v>
      </c>
      <c r="G9" s="9" t="n">
        <f aca="false">CHOOSE(Assumptions!$C$3,G6,G7,G8)</f>
        <v>2</v>
      </c>
      <c r="H9" s="9" t="n">
        <f aca="false">CHOOSE(Assumptions!$C$3,H6,H7,H8)</f>
        <v>2</v>
      </c>
      <c r="I9" s="9" t="n">
        <f aca="false">CHOOSE(Assumptions!$C$3,I6,I7,I8)</f>
        <v>3</v>
      </c>
      <c r="J9" s="9" t="n">
        <f aca="false">CHOOSE(Assumptions!$C$3,J6,J7,J8)</f>
        <v>3</v>
      </c>
      <c r="K9" s="9" t="n">
        <f aca="false">CHOOSE(Assumptions!$C$3,K6,K7,K8)</f>
        <v>3</v>
      </c>
      <c r="L9" s="9" t="n">
        <f aca="false">CHOOSE(Assumptions!$C$3,L6,L7,L8)</f>
        <v>3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16" t="s">
        <v>217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15" hidden="false" customHeight="false" outlineLevel="0" collapsed="false">
      <c r="A12" s="7" t="s">
        <v>38</v>
      </c>
      <c r="B12" s="2"/>
      <c r="C12" s="26" t="n">
        <v>0</v>
      </c>
      <c r="D12" s="26" t="n">
        <v>0</v>
      </c>
      <c r="E12" s="26" t="n">
        <v>0</v>
      </c>
      <c r="F12" s="26" t="n">
        <v>0</v>
      </c>
      <c r="G12" s="26" t="n">
        <v>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</row>
    <row r="13" customFormat="false" ht="15" hidden="false" customHeight="false" outlineLevel="0" collapsed="false">
      <c r="A13" s="7" t="s">
        <v>39</v>
      </c>
      <c r="B13" s="2"/>
      <c r="C13" s="26" t="n">
        <v>0</v>
      </c>
      <c r="D13" s="26" t="n">
        <v>0</v>
      </c>
      <c r="E13" s="26" t="n">
        <v>0</v>
      </c>
      <c r="F13" s="26" t="n">
        <v>1</v>
      </c>
      <c r="G13" s="26" t="n">
        <v>3</v>
      </c>
      <c r="H13" s="26" t="n">
        <v>5</v>
      </c>
      <c r="I13" s="26" t="n">
        <v>7</v>
      </c>
      <c r="J13" s="26" t="n">
        <v>9</v>
      </c>
      <c r="K13" s="26" t="n">
        <v>11</v>
      </c>
      <c r="L13" s="26" t="n">
        <v>12</v>
      </c>
    </row>
    <row r="14" customFormat="false" ht="15" hidden="false" customHeight="false" outlineLevel="0" collapsed="false">
      <c r="A14" s="7" t="s">
        <v>40</v>
      </c>
      <c r="B14" s="2"/>
      <c r="C14" s="26" t="n">
        <v>0</v>
      </c>
      <c r="D14" s="26" t="n">
        <v>0</v>
      </c>
      <c r="E14" s="26" t="n">
        <v>1</v>
      </c>
      <c r="F14" s="26" t="n">
        <v>3</v>
      </c>
      <c r="G14" s="26" t="n">
        <v>5</v>
      </c>
      <c r="H14" s="26" t="n">
        <v>7</v>
      </c>
      <c r="I14" s="26" t="n">
        <v>9</v>
      </c>
      <c r="J14" s="26" t="n">
        <v>11</v>
      </c>
      <c r="K14" s="26" t="n">
        <v>12</v>
      </c>
      <c r="L14" s="26" t="n">
        <v>14</v>
      </c>
    </row>
    <row r="15" customFormat="false" ht="15" hidden="false" customHeight="false" outlineLevel="0" collapsed="false">
      <c r="A15" s="12" t="s">
        <v>267</v>
      </c>
      <c r="B15" s="2"/>
      <c r="C15" s="9" t="n">
        <f aca="false">CHOOSE(Assumptions!$C$3,C12,C13,C14)</f>
        <v>0</v>
      </c>
      <c r="D15" s="9" t="n">
        <f aca="false">CHOOSE(Assumptions!$C$3,D12,D13,D14)</f>
        <v>0</v>
      </c>
      <c r="E15" s="9" t="n">
        <f aca="false">CHOOSE(Assumptions!$C$3,E12,E13,E14)</f>
        <v>0</v>
      </c>
      <c r="F15" s="9" t="n">
        <f aca="false">CHOOSE(Assumptions!$C$3,F12,F13,F14)</f>
        <v>1</v>
      </c>
      <c r="G15" s="9" t="n">
        <f aca="false">CHOOSE(Assumptions!$C$3,G12,G13,G14)</f>
        <v>3</v>
      </c>
      <c r="H15" s="9" t="n">
        <f aca="false">CHOOSE(Assumptions!$C$3,H12,H13,H14)</f>
        <v>5</v>
      </c>
      <c r="I15" s="9" t="n">
        <f aca="false">CHOOSE(Assumptions!$C$3,I12,I13,I14)</f>
        <v>7</v>
      </c>
      <c r="J15" s="9" t="n">
        <f aca="false">CHOOSE(Assumptions!$C$3,J12,J13,J14)</f>
        <v>9</v>
      </c>
      <c r="K15" s="9" t="n">
        <f aca="false">CHOOSE(Assumptions!$C$3,K12,K13,K14)</f>
        <v>11</v>
      </c>
      <c r="L15" s="9" t="n">
        <f aca="false">CHOOSE(Assumptions!$C$3,L12,L13,L14)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6" min="3" style="0" width="15"/>
  </cols>
  <sheetData>
    <row r="1" customFormat="false" ht="17.35" hidden="false" customHeight="false" outlineLevel="0" collapsed="false">
      <c r="A1" s="1" t="s">
        <v>268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269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5" t="s">
        <v>196</v>
      </c>
      <c r="B4" s="6"/>
      <c r="C4" s="6" t="s">
        <v>38</v>
      </c>
      <c r="D4" s="6" t="s">
        <v>39</v>
      </c>
      <c r="E4" s="6" t="s">
        <v>40</v>
      </c>
      <c r="F4" s="6" t="s">
        <v>41</v>
      </c>
    </row>
    <row r="5" customFormat="false" ht="15" hidden="false" customHeight="false" outlineLevel="0" collapsed="false">
      <c r="A5" s="7" t="s">
        <v>215</v>
      </c>
      <c r="B5" s="2"/>
      <c r="C5" s="39" t="n">
        <f aca="false">Assumptions!$C$20</f>
        <v>500</v>
      </c>
      <c r="D5" s="39" t="n">
        <f aca="false">Assumptions!$D$20</f>
        <v>600</v>
      </c>
      <c r="E5" s="39" t="n">
        <f aca="false">Assumptions!$E$20</f>
        <v>700</v>
      </c>
      <c r="F5" s="39" t="n">
        <f aca="false">Assumptions!$F$20</f>
        <v>600</v>
      </c>
    </row>
    <row r="6" customFormat="false" ht="15" hidden="false" customHeight="false" outlineLevel="0" collapsed="false">
      <c r="A6" s="7" t="s">
        <v>270</v>
      </c>
      <c r="B6" s="2"/>
      <c r="C6" s="33" t="n">
        <f aca="false">Assumptions!$C$24*Assumptions!$C$25+(1-Assumptions!$C$24)*Assumptions!$C$26</f>
        <v>7500</v>
      </c>
      <c r="D6" s="33" t="n">
        <f aca="false">Assumptions!$D$24*Assumptions!$D$25+(1-Assumptions!$D$24)*Assumptions!$D$26</f>
        <v>7750</v>
      </c>
      <c r="E6" s="33" t="n">
        <f aca="false">Assumptions!$E$24*Assumptions!$E$25+(1-Assumptions!$E$24)*Assumptions!$E$26</f>
        <v>7950</v>
      </c>
      <c r="F6" s="33" t="n">
        <f aca="false">Assumptions!$F$24*Assumptions!$F$25+(1-Assumptions!$F$24)*Assumptions!$F$26</f>
        <v>7750</v>
      </c>
    </row>
    <row r="7" customFormat="false" ht="15" hidden="false" customHeight="false" outlineLevel="0" collapsed="false">
      <c r="A7" s="12" t="s">
        <v>182</v>
      </c>
      <c r="B7" s="2"/>
      <c r="C7" s="19" t="n">
        <f aca="false">C5*C6</f>
        <v>3750000</v>
      </c>
      <c r="D7" s="19" t="n">
        <f aca="false">D5*D6</f>
        <v>4650000</v>
      </c>
      <c r="E7" s="19" t="n">
        <f aca="false">E5*E6</f>
        <v>5565000</v>
      </c>
      <c r="F7" s="19" t="n">
        <f aca="false">F5*F6</f>
        <v>4650000</v>
      </c>
    </row>
    <row r="8" customFormat="false" ht="15" hidden="false" customHeight="false" outlineLevel="0" collapsed="false">
      <c r="A8" s="7" t="s">
        <v>271</v>
      </c>
      <c r="B8" s="2"/>
      <c r="C8" s="33" t="n">
        <f aca="false">-C7*Assumptions!$C$47</f>
        <v>-450000</v>
      </c>
      <c r="D8" s="33" t="n">
        <f aca="false">-D7*Assumptions!$D$47</f>
        <v>-465000</v>
      </c>
      <c r="E8" s="33" t="n">
        <f aca="false">-E7*Assumptions!$E$47</f>
        <v>-445200</v>
      </c>
      <c r="F8" s="33" t="n">
        <f aca="false">-F7*Assumptions!$F$47</f>
        <v>-465000</v>
      </c>
    </row>
    <row r="9" customFormat="false" ht="15" hidden="false" customHeight="false" outlineLevel="0" collapsed="false">
      <c r="A9" s="12" t="s">
        <v>272</v>
      </c>
      <c r="B9" s="2"/>
      <c r="C9" s="34" t="n">
        <f aca="false">C7+C8</f>
        <v>3300000</v>
      </c>
      <c r="D9" s="34" t="n">
        <f aca="false">D7+D8</f>
        <v>4185000</v>
      </c>
      <c r="E9" s="34" t="n">
        <f aca="false">E7+E8</f>
        <v>5119800</v>
      </c>
      <c r="F9" s="34" t="n">
        <f aca="false">F7+F8</f>
        <v>4185000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7" t="s">
        <v>273</v>
      </c>
      <c r="B11" s="2"/>
      <c r="C11" s="39" t="n">
        <f aca="false">C5*(1+Assumptions!$C$28)</f>
        <v>575</v>
      </c>
      <c r="D11" s="39" t="n">
        <f aca="false">D5*(1+Assumptions!$D$28)</f>
        <v>660</v>
      </c>
      <c r="E11" s="39" t="n">
        <f aca="false">E5*(1+Assumptions!$E$28)</f>
        <v>756</v>
      </c>
      <c r="F11" s="39" t="n">
        <f aca="false">F5*(1+Assumptions!$F$28)</f>
        <v>660</v>
      </c>
    </row>
    <row r="12" customFormat="false" ht="15" hidden="false" customHeight="false" outlineLevel="0" collapsed="false">
      <c r="A12" s="7" t="s">
        <v>274</v>
      </c>
      <c r="B12" s="2"/>
      <c r="C12" s="33" t="n">
        <f aca="false">Assumptions!$C$30*Assumptions!$C$31+Assumptions!$C$32+Assumptions!$C$33+Assumptions!$C$34+Assumptions!$C$35</f>
        <v>4145</v>
      </c>
      <c r="D12" s="33" t="n">
        <f aca="false">Assumptions!$D$30*Assumptions!$D$31+Assumptions!$D$32+Assumptions!$D$33+Assumptions!$D$34+Assumptions!$D$35</f>
        <v>3695</v>
      </c>
      <c r="E12" s="33" t="n">
        <f aca="false">Assumptions!$E$30*Assumptions!$E$31+Assumptions!$E$32+Assumptions!$E$33+Assumptions!$E$34+Assumptions!$E$35</f>
        <v>3300</v>
      </c>
      <c r="F12" s="33" t="n">
        <f aca="false">Assumptions!$F$30*Assumptions!$F$31+Assumptions!$F$32+Assumptions!$F$33+Assumptions!$F$34+Assumptions!$F$35</f>
        <v>3695</v>
      </c>
    </row>
    <row r="13" customFormat="false" ht="15" hidden="false" customHeight="false" outlineLevel="0" collapsed="false">
      <c r="A13" s="7" t="s">
        <v>275</v>
      </c>
      <c r="B13" s="2"/>
      <c r="C13" s="35" t="n">
        <f aca="false">-C11*C12</f>
        <v>-2383375</v>
      </c>
      <c r="D13" s="35" t="n">
        <f aca="false">-D11*D12</f>
        <v>-2438700</v>
      </c>
      <c r="E13" s="35" t="n">
        <f aca="false">-E11*E12</f>
        <v>-2494800</v>
      </c>
      <c r="F13" s="35" t="n">
        <f aca="false">-F11*F12</f>
        <v>-2438700</v>
      </c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7" t="s">
        <v>276</v>
      </c>
      <c r="B15" s="2"/>
      <c r="C15" s="33" t="n">
        <f aca="false">-((Assumptions!$C$37*Assumptions!$C$39+Assumptions!$C$38*Assumptions!$C$40)*(1+Assumptions!$C$41)+Assumptions!$C$42)</f>
        <v>-736400</v>
      </c>
      <c r="D15" s="33" t="n">
        <f aca="false">-((Assumptions!$D$37*Assumptions!$D$39+Assumptions!$D$38*Assumptions!$D$40)*(1+Assumptions!$D$41)+Assumptions!$D$42)</f>
        <v>-641250</v>
      </c>
      <c r="E15" s="33" t="n">
        <f aca="false">-((Assumptions!$E$37*Assumptions!$E$39+Assumptions!$E$38*Assumptions!$E$40)*(1+Assumptions!$E$41)+Assumptions!$E$42)</f>
        <v>-570700</v>
      </c>
      <c r="F15" s="33" t="n">
        <f aca="false">-((Assumptions!$F$37*Assumptions!$F$39+Assumptions!$F$38*Assumptions!$F$40)*(1+Assumptions!$F$41)+Assumptions!$F$42)</f>
        <v>-641250</v>
      </c>
    </row>
    <row r="16" customFormat="false" ht="15" hidden="false" customHeight="false" outlineLevel="0" collapsed="false">
      <c r="A16" s="7" t="s">
        <v>227</v>
      </c>
      <c r="B16" s="2"/>
      <c r="C16" s="33" t="n">
        <f aca="false">-(Assumptions!$C$37+Assumptions!$C$38)*Assumptions!$C$43</f>
        <v>-120000</v>
      </c>
      <c r="D16" s="33" t="n">
        <f aca="false">-(Assumptions!$D$37+Assumptions!$D$38)*Assumptions!$D$43</f>
        <v>-105000</v>
      </c>
      <c r="E16" s="33" t="n">
        <f aca="false">-(Assumptions!$E$37+Assumptions!$E$38)*Assumptions!$E$43</f>
        <v>-90000</v>
      </c>
      <c r="F16" s="33" t="n">
        <f aca="false">-(Assumptions!$F$37+Assumptions!$F$38)*Assumptions!$F$43</f>
        <v>-105000</v>
      </c>
    </row>
    <row r="17" customFormat="false" ht="15" hidden="false" customHeight="false" outlineLevel="0" collapsed="false">
      <c r="A17" s="7" t="s">
        <v>277</v>
      </c>
      <c r="B17" s="2"/>
      <c r="C17" s="33" t="n">
        <f aca="false">-Assumptions!$C$44</f>
        <v>-84000</v>
      </c>
      <c r="D17" s="33" t="n">
        <f aca="false">-Assumptions!$D$44</f>
        <v>-66000</v>
      </c>
      <c r="E17" s="33" t="n">
        <f aca="false">-Assumptions!$E$44</f>
        <v>-54000</v>
      </c>
      <c r="F17" s="33" t="n">
        <f aca="false">-Assumptions!$F$44</f>
        <v>-66000</v>
      </c>
    </row>
    <row r="18" customFormat="false" ht="15" hidden="false" customHeight="false" outlineLevel="0" collapsed="false">
      <c r="A18" s="7" t="s">
        <v>278</v>
      </c>
      <c r="B18" s="2"/>
      <c r="C18" s="33" t="n">
        <f aca="false">-Assumptions!$C$45</f>
        <v>-110000</v>
      </c>
      <c r="D18" s="33" t="n">
        <f aca="false">-Assumptions!$D$45</f>
        <v>-85000</v>
      </c>
      <c r="E18" s="33" t="n">
        <f aca="false">-Assumptions!$E$45</f>
        <v>-70000</v>
      </c>
      <c r="F18" s="33" t="n">
        <f aca="false">-Assumptions!$F$45</f>
        <v>-85000</v>
      </c>
    </row>
    <row r="19" customFormat="false" ht="15" hidden="false" customHeight="false" outlineLevel="0" collapsed="false">
      <c r="A19" s="7" t="s">
        <v>279</v>
      </c>
      <c r="B19" s="2"/>
      <c r="C19" s="33" t="n">
        <f aca="false">-Assumptions!$C$46*12</f>
        <v>-132000</v>
      </c>
      <c r="D19" s="33" t="n">
        <f aca="false">-Assumptions!$D$46*12</f>
        <v>-120000</v>
      </c>
      <c r="E19" s="33" t="n">
        <f aca="false">-Assumptions!$E$46*12</f>
        <v>-102000</v>
      </c>
      <c r="F19" s="33" t="n">
        <f aca="false">-Assumptions!$F$46*12</f>
        <v>-120000</v>
      </c>
    </row>
    <row r="20" customFormat="false" ht="15" hidden="false" customHeight="false" outlineLevel="0" collapsed="false">
      <c r="A20" s="7" t="s">
        <v>280</v>
      </c>
      <c r="B20" s="2"/>
      <c r="C20" s="33" t="n">
        <f aca="false">-Assumptions!$C$48</f>
        <v>-100000</v>
      </c>
      <c r="D20" s="33" t="n">
        <f aca="false">-Assumptions!$D$48</f>
        <v>-80000</v>
      </c>
      <c r="E20" s="33" t="n">
        <f aca="false">-Assumptions!$E$48</f>
        <v>-65000</v>
      </c>
      <c r="F20" s="33" t="n">
        <f aca="false">-Assumptions!$F$48</f>
        <v>-80000</v>
      </c>
    </row>
    <row r="21" customFormat="false" ht="15" hidden="false" customHeight="false" outlineLevel="0" collapsed="false">
      <c r="A21" s="7" t="s">
        <v>281</v>
      </c>
      <c r="B21" s="2"/>
      <c r="C21" s="33" t="n">
        <f aca="false">-Assumptions!$C$49</f>
        <v>-75000</v>
      </c>
      <c r="D21" s="33" t="n">
        <f aca="false">-Assumptions!$D$49</f>
        <v>-50000</v>
      </c>
      <c r="E21" s="33" t="n">
        <f aca="false">-Assumptions!$E$49</f>
        <v>-35000</v>
      </c>
      <c r="F21" s="33" t="n">
        <f aca="false">-Assumptions!$F$49</f>
        <v>-50000</v>
      </c>
    </row>
    <row r="22" customFormat="false" ht="15" hidden="false" customHeight="false" outlineLevel="0" collapsed="false">
      <c r="A22" s="7" t="s">
        <v>190</v>
      </c>
      <c r="B22" s="2"/>
      <c r="C22" s="33" t="n">
        <f aca="false">-Assumptions!$C$50</f>
        <v>-110000</v>
      </c>
      <c r="D22" s="33" t="n">
        <f aca="false">-Assumptions!$D$50</f>
        <v>-90000</v>
      </c>
      <c r="E22" s="33" t="n">
        <f aca="false">-Assumptions!$E$50</f>
        <v>-75000</v>
      </c>
      <c r="F22" s="33" t="n">
        <f aca="false">-Assumptions!$F$50</f>
        <v>-90000</v>
      </c>
    </row>
    <row r="23" customFormat="false" ht="15" hidden="false" customHeight="false" outlineLevel="0" collapsed="false">
      <c r="A23" s="12" t="s">
        <v>282</v>
      </c>
      <c r="B23" s="2"/>
      <c r="C23" s="34" t="n">
        <f aca="false">SUM(C15:C22)</f>
        <v>-1467400</v>
      </c>
      <c r="D23" s="34" t="n">
        <f aca="false">SUM(D15:D22)</f>
        <v>-1237250</v>
      </c>
      <c r="E23" s="34" t="n">
        <f aca="false">SUM(E15:E22)</f>
        <v>-1061700</v>
      </c>
      <c r="F23" s="34" t="n">
        <f aca="false">SUM(F15:F22)</f>
        <v>-1237250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12" t="s">
        <v>283</v>
      </c>
      <c r="B25" s="2"/>
      <c r="C25" s="19" t="n">
        <f aca="false">C9+C13+C23</f>
        <v>-550775</v>
      </c>
      <c r="D25" s="19" t="n">
        <f aca="false">D9+D13+D23</f>
        <v>509050</v>
      </c>
      <c r="E25" s="19" t="n">
        <f aca="false">E9+E13+E23</f>
        <v>1563300</v>
      </c>
      <c r="F25" s="19" t="n">
        <f aca="false">F9+F13+F23</f>
        <v>509050</v>
      </c>
    </row>
    <row r="26" customFormat="false" ht="15" hidden="false" customHeight="false" outlineLevel="0" collapsed="false">
      <c r="A26" s="7" t="s">
        <v>234</v>
      </c>
      <c r="B26" s="2"/>
      <c r="C26" s="36" t="n">
        <f aca="false">IF(C7=0,0,C25/C7)</f>
        <v>-0.146873333333333</v>
      </c>
      <c r="D26" s="36" t="n">
        <f aca="false">IF(D7=0,0,D25/D7)</f>
        <v>0.10947311827957</v>
      </c>
      <c r="E26" s="36" t="n">
        <f aca="false">IF(E7=0,0,E25/E7)</f>
        <v>0.280916442048518</v>
      </c>
      <c r="F26" s="36" t="n">
        <f aca="false">IF(F7=0,0,F25/F7)</f>
        <v>0.10947311827957</v>
      </c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</row>
    <row r="28" customFormat="false" ht="15" hidden="false" customHeight="false" outlineLevel="0" collapsed="false">
      <c r="A28" s="7" t="s">
        <v>284</v>
      </c>
      <c r="B28" s="2"/>
      <c r="C28" s="33" t="n">
        <f aca="false">Assumptions!$C$7*Assumptions!$C$16</f>
        <v>12000000</v>
      </c>
      <c r="D28" s="33" t="n">
        <f aca="false">Assumptions!$D$7*Assumptions!$D$16</f>
        <v>10800000</v>
      </c>
      <c r="E28" s="33" t="n">
        <f aca="false">Assumptions!$E$7*Assumptions!$E$16</f>
        <v>10000000</v>
      </c>
      <c r="F28" s="33" t="n">
        <f aca="false">Assumptions!$F$7*Assumptions!$F$16</f>
        <v>10800000</v>
      </c>
    </row>
    <row r="29" customFormat="false" ht="15" hidden="false" customHeight="false" outlineLevel="0" collapsed="false">
      <c r="A29" s="7" t="s">
        <v>285</v>
      </c>
      <c r="B29" s="2"/>
      <c r="C29" s="33" t="n">
        <f aca="false">-PMT(Assumptions!$C$17,Assumptions!$C$18,-C28)</f>
        <v>-1401954.53923224</v>
      </c>
      <c r="D29" s="33" t="n">
        <f aca="false">-PMT(Assumptions!$D$17,Assumptions!$D$18,-D28)</f>
        <v>-1204574.22936194</v>
      </c>
      <c r="E29" s="33" t="n">
        <f aca="false">-PMT(Assumptions!$E$17,Assumptions!$E$18,-E28)</f>
        <v>-925666.955744565</v>
      </c>
      <c r="F29" s="33" t="n">
        <f aca="false">-PMT(Assumptions!$F$17,Assumptions!$F$18,-F28)</f>
        <v>-1204574.22936194</v>
      </c>
    </row>
    <row r="30" customFormat="false" ht="15" hidden="false" customHeight="false" outlineLevel="0" collapsed="false">
      <c r="A30" s="12" t="s">
        <v>193</v>
      </c>
      <c r="B30" s="2"/>
      <c r="C30" s="34" t="n">
        <f aca="false">C25+C29</f>
        <v>-1952729.53923224</v>
      </c>
      <c r="D30" s="34" t="n">
        <f aca="false">D25+D29</f>
        <v>-695524.229361937</v>
      </c>
      <c r="E30" s="34" t="n">
        <f aca="false">E25+E29</f>
        <v>637633.044255435</v>
      </c>
      <c r="F30" s="34" t="n">
        <f aca="false">F25+F29</f>
        <v>-695524.229361937</v>
      </c>
    </row>
    <row r="31" customFormat="false" ht="15" hidden="false" customHeight="false" outlineLevel="0" collapsed="false">
      <c r="A31" s="7" t="s">
        <v>286</v>
      </c>
      <c r="B31" s="2"/>
      <c r="C31" s="33" t="n">
        <f aca="false">-C28*Assumptions!$C$17</f>
        <v>-960000</v>
      </c>
      <c r="D31" s="33" t="n">
        <f aca="false">-D28*Assumptions!$D$17</f>
        <v>-783000</v>
      </c>
      <c r="E31" s="33" t="n">
        <f aca="false">-E28*Assumptions!$E$17</f>
        <v>-675000</v>
      </c>
      <c r="F31" s="33" t="n">
        <f aca="false">-F28*Assumptions!$F$17</f>
        <v>-783000</v>
      </c>
    </row>
    <row r="32" customFormat="false" ht="15" hidden="false" customHeight="false" outlineLevel="0" collapsed="false">
      <c r="A32" s="7" t="s">
        <v>287</v>
      </c>
      <c r="B32" s="2"/>
      <c r="C32" s="33" t="n">
        <f aca="false">-Assumptions!$C$7*Assumptions!$C$63</f>
        <v>-1050000</v>
      </c>
      <c r="D32" s="33" t="n">
        <f aca="false">-Assumptions!$D$7*Assumptions!$D$63</f>
        <v>-675000</v>
      </c>
      <c r="E32" s="33" t="n">
        <f aca="false">-Assumptions!$E$7*Assumptions!$E$63</f>
        <v>-437500</v>
      </c>
      <c r="F32" s="33" t="n">
        <f aca="false">-Assumptions!$F$7*Assumptions!$F$63</f>
        <v>-675000</v>
      </c>
    </row>
    <row r="33" customFormat="false" ht="15" hidden="false" customHeight="false" outlineLevel="0" collapsed="false">
      <c r="A33" s="12" t="s">
        <v>288</v>
      </c>
      <c r="B33" s="2"/>
      <c r="C33" s="19" t="n">
        <f aca="false">C25+C31+C32</f>
        <v>-2560775</v>
      </c>
      <c r="D33" s="19" t="n">
        <f aca="false">D25+D31+D32</f>
        <v>-948950</v>
      </c>
      <c r="E33" s="19" t="n">
        <f aca="false">E25+E31+E32</f>
        <v>450800</v>
      </c>
      <c r="F33" s="19" t="n">
        <f aca="false">F25+F31+F32</f>
        <v>-948950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</row>
    <row r="35" customFormat="false" ht="15" hidden="false" customHeight="false" outlineLevel="0" collapsed="false">
      <c r="A35" s="7" t="s">
        <v>289</v>
      </c>
      <c r="B35" s="2"/>
      <c r="C35" s="33" t="n">
        <f aca="false">C6*(1-Assumptions!$C$47)-C12*(1+Assumptions!$C$28)</f>
        <v>1833.25</v>
      </c>
      <c r="D35" s="33" t="n">
        <f aca="false">D6*(1-Assumptions!$D$47)-D12*(1+Assumptions!$D$28)</f>
        <v>2910.5</v>
      </c>
      <c r="E35" s="33" t="n">
        <f aca="false">E6*(1-Assumptions!$E$47)-E12*(1+Assumptions!$E$28)</f>
        <v>3750</v>
      </c>
      <c r="F35" s="33" t="n">
        <f aca="false">F6*(1-Assumptions!$F$47)-F12*(1+Assumptions!$F$28)</f>
        <v>2910.5</v>
      </c>
    </row>
    <row r="36" customFormat="false" ht="15" hidden="false" customHeight="false" outlineLevel="0" collapsed="false">
      <c r="A36" s="7" t="s">
        <v>290</v>
      </c>
      <c r="B36" s="2"/>
      <c r="C36" s="38" t="n">
        <f aca="false">IF(C35&lt;=0,0,-C23/C35)</f>
        <v>800.436383471976</v>
      </c>
      <c r="D36" s="38" t="n">
        <f aca="false">IF(D35&lt;=0,0,-D23/D35)</f>
        <v>425.098780278303</v>
      </c>
      <c r="E36" s="38" t="n">
        <f aca="false">IF(E35&lt;=0,0,-E23/E35)</f>
        <v>283.12</v>
      </c>
      <c r="F36" s="38" t="n">
        <f aca="false">IF(F35&lt;=0,0,-F23/F35)</f>
        <v>425.098780278303</v>
      </c>
    </row>
    <row r="37" customFormat="false" ht="15" hidden="false" customHeight="false" outlineLevel="0" collapsed="false">
      <c r="A37" s="12" t="s">
        <v>291</v>
      </c>
      <c r="B37" s="2"/>
      <c r="C37" s="25" t="n">
        <f aca="false">IF(C35&lt;=0,0,-(C23+C29)/C35)</f>
        <v>1565.17362020032</v>
      </c>
      <c r="D37" s="25" t="n">
        <f aca="false">IF(D35&lt;=0,0,-(D23+D29)/D35)</f>
        <v>838.970702409187</v>
      </c>
      <c r="E37" s="25" t="n">
        <f aca="false">IF(E35&lt;=0,0,-(E23+E29)/E35)</f>
        <v>529.964521531884</v>
      </c>
      <c r="F37" s="25" t="n">
        <f aca="false">IF(F35&lt;=0,0,-(F23+F29)/F35)</f>
        <v>838.970702409187</v>
      </c>
    </row>
    <row r="38" customFormat="false" ht="15" hidden="false" customHeight="false" outlineLevel="0" collapsed="false">
      <c r="A38" s="7" t="s">
        <v>292</v>
      </c>
      <c r="B38" s="2"/>
      <c r="C38" s="33" t="n">
        <f aca="false">-C23/12*Assumptions!$C$52</f>
        <v>733700</v>
      </c>
      <c r="D38" s="33" t="n">
        <f aca="false">-D23/12*Assumptions!$D$52</f>
        <v>618625</v>
      </c>
      <c r="E38" s="33" t="n">
        <f aca="false">-E23/12*Assumptions!$E$52</f>
        <v>442375</v>
      </c>
      <c r="F38" s="33" t="n">
        <f aca="false">-F23/12*Assumptions!$F$52</f>
        <v>618625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5" hidden="false" customHeight="false" outlineLevel="0" collapsed="false">
      <c r="A40" s="16" t="s">
        <v>293</v>
      </c>
      <c r="B40" s="17"/>
      <c r="C40" s="17"/>
      <c r="D40" s="17"/>
      <c r="E40" s="17"/>
      <c r="F40" s="17"/>
    </row>
    <row r="41" customFormat="false" ht="15" hidden="false" customHeight="false" outlineLevel="0" collapsed="false">
      <c r="A41" s="5" t="s">
        <v>215</v>
      </c>
      <c r="B41" s="6"/>
      <c r="C41" s="6" t="s">
        <v>191</v>
      </c>
      <c r="D41" s="6" t="s">
        <v>192</v>
      </c>
      <c r="E41" s="6" t="s">
        <v>294</v>
      </c>
      <c r="F41" s="6" t="s">
        <v>295</v>
      </c>
    </row>
    <row r="42" customFormat="false" ht="15" hidden="false" customHeight="false" outlineLevel="0" collapsed="false">
      <c r="A42" s="24" t="n">
        <v>300</v>
      </c>
      <c r="B42" s="2"/>
      <c r="C42" s="35" t="n">
        <f aca="false">A42*$F$35+$F$23</f>
        <v>-364100</v>
      </c>
      <c r="D42" s="35" t="n">
        <f aca="false">$F$29</f>
        <v>-1204574.22936194</v>
      </c>
      <c r="E42" s="19" t="n">
        <f aca="false">C42+D42</f>
        <v>-1568674.22936194</v>
      </c>
      <c r="F42" s="35" t="n">
        <f aca="false">IF(A42=0,0,E42/A42)</f>
        <v>-5228.91409787313</v>
      </c>
    </row>
    <row r="43" customFormat="false" ht="15" hidden="false" customHeight="false" outlineLevel="0" collapsed="false">
      <c r="A43" s="24" t="n">
        <v>400</v>
      </c>
      <c r="B43" s="2"/>
      <c r="C43" s="35" t="n">
        <f aca="false">A43*$F$35+$F$23</f>
        <v>-73050.0000000002</v>
      </c>
      <c r="D43" s="35" t="n">
        <f aca="false">$F$29</f>
        <v>-1204574.22936194</v>
      </c>
      <c r="E43" s="19" t="n">
        <f aca="false">C43+D43</f>
        <v>-1277624.22936194</v>
      </c>
      <c r="F43" s="35" t="n">
        <f aca="false">IF(A43=0,0,E43/A43)</f>
        <v>-3194.06057340484</v>
      </c>
    </row>
    <row r="44" customFormat="false" ht="15" hidden="false" customHeight="false" outlineLevel="0" collapsed="false">
      <c r="A44" s="24" t="n">
        <v>500</v>
      </c>
      <c r="B44" s="2"/>
      <c r="C44" s="35" t="n">
        <f aca="false">A44*$F$35+$F$23</f>
        <v>218000</v>
      </c>
      <c r="D44" s="35" t="n">
        <f aca="false">$F$29</f>
        <v>-1204574.22936194</v>
      </c>
      <c r="E44" s="19" t="n">
        <f aca="false">C44+D44</f>
        <v>-986574.229361938</v>
      </c>
      <c r="F44" s="35" t="n">
        <f aca="false">IF(A44=0,0,E44/A44)</f>
        <v>-1973.14845872388</v>
      </c>
    </row>
    <row r="45" customFormat="false" ht="15" hidden="false" customHeight="false" outlineLevel="0" collapsed="false">
      <c r="A45" s="24" t="n">
        <v>600</v>
      </c>
      <c r="B45" s="2"/>
      <c r="C45" s="35" t="n">
        <f aca="false">A45*$F$35+$F$23</f>
        <v>509050</v>
      </c>
      <c r="D45" s="35" t="n">
        <f aca="false">$F$29</f>
        <v>-1204574.22936194</v>
      </c>
      <c r="E45" s="19" t="n">
        <f aca="false">C45+D45</f>
        <v>-695524.229361938</v>
      </c>
      <c r="F45" s="35" t="n">
        <f aca="false">IF(A45=0,0,E45/A45)</f>
        <v>-1159.20704893656</v>
      </c>
    </row>
    <row r="46" customFormat="false" ht="15" hidden="false" customHeight="false" outlineLevel="0" collapsed="false">
      <c r="A46" s="24" t="n">
        <v>700</v>
      </c>
      <c r="B46" s="2"/>
      <c r="C46" s="35" t="n">
        <f aca="false">A46*$F$35+$F$23</f>
        <v>800100</v>
      </c>
      <c r="D46" s="35" t="n">
        <f aca="false">$F$29</f>
        <v>-1204574.22936194</v>
      </c>
      <c r="E46" s="19" t="n">
        <f aca="false">C46+D46</f>
        <v>-404474.229361938</v>
      </c>
      <c r="F46" s="35" t="n">
        <f aca="false">IF(A46=0,0,E46/A46)</f>
        <v>-577.820327659911</v>
      </c>
    </row>
    <row r="47" customFormat="false" ht="15" hidden="false" customHeight="false" outlineLevel="0" collapsed="false">
      <c r="A47" s="24" t="n">
        <v>800</v>
      </c>
      <c r="B47" s="2"/>
      <c r="C47" s="35" t="n">
        <f aca="false">A47*$F$35+$F$23</f>
        <v>1091150</v>
      </c>
      <c r="D47" s="35" t="n">
        <f aca="false">$F$29</f>
        <v>-1204574.22936194</v>
      </c>
      <c r="E47" s="19" t="n">
        <f aca="false">C47+D47</f>
        <v>-113424.229361938</v>
      </c>
      <c r="F47" s="35" t="n">
        <f aca="false">IF(A47=0,0,E47/A47)</f>
        <v>-141.780286702422</v>
      </c>
    </row>
    <row r="48" customFormat="false" ht="15" hidden="false" customHeight="false" outlineLevel="0" collapsed="false">
      <c r="A48" s="24" t="n">
        <v>900</v>
      </c>
      <c r="B48" s="2"/>
      <c r="C48" s="35" t="n">
        <f aca="false">A48*$F$35+$F$23</f>
        <v>1382200</v>
      </c>
      <c r="D48" s="35" t="n">
        <f aca="false">$F$29</f>
        <v>-1204574.22936194</v>
      </c>
      <c r="E48" s="19" t="n">
        <f aca="false">C48+D48</f>
        <v>177625.770638062</v>
      </c>
      <c r="F48" s="35" t="n">
        <f aca="false">IF(A48=0,0,E48/A48)</f>
        <v>197.361967375625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4"/>
    <col collapsed="false" customWidth="true" hidden="false" outlineLevel="0" max="8" min="3" style="0" width="14"/>
  </cols>
  <sheetData>
    <row r="1" customFormat="false" ht="17.35" hidden="false" customHeight="false" outlineLevel="0" collapsed="false">
      <c r="A1" s="1" t="s">
        <v>296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297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5"/>
      <c r="B4" s="6"/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6" t="s">
        <v>303</v>
      </c>
    </row>
    <row r="5" customFormat="false" ht="15" hidden="false" customHeight="false" outlineLevel="0" collapsed="false">
      <c r="A5" s="12" t="s">
        <v>304</v>
      </c>
      <c r="B5" s="2"/>
      <c r="C5" s="23" t="n">
        <v>0.6</v>
      </c>
      <c r="D5" s="23" t="n">
        <v>0.7</v>
      </c>
      <c r="E5" s="23" t="n">
        <v>0.75</v>
      </c>
      <c r="F5" s="23" t="n">
        <v>0.8</v>
      </c>
      <c r="G5" s="23" t="n">
        <v>0.85</v>
      </c>
      <c r="H5" s="23" t="n">
        <v>0.9</v>
      </c>
    </row>
    <row r="6" customFormat="false" ht="15" hidden="false" customHeight="false" outlineLevel="0" collapsed="false">
      <c r="A6" s="7" t="s">
        <v>166</v>
      </c>
      <c r="B6" s="2"/>
      <c r="C6" s="33" t="n">
        <f aca="false">Assumptions!$F$7</f>
        <v>13500000</v>
      </c>
      <c r="D6" s="33" t="n">
        <f aca="false">Assumptions!$F$7</f>
        <v>13500000</v>
      </c>
      <c r="E6" s="33" t="n">
        <f aca="false">Assumptions!$F$7</f>
        <v>13500000</v>
      </c>
      <c r="F6" s="33" t="n">
        <f aca="false">Assumptions!$F$7</f>
        <v>13500000</v>
      </c>
      <c r="G6" s="33" t="n">
        <f aca="false">Assumptions!$F$7</f>
        <v>13500000</v>
      </c>
      <c r="H6" s="33" t="n">
        <f aca="false">Assumptions!$F$7</f>
        <v>13500000</v>
      </c>
    </row>
    <row r="7" customFormat="false" ht="15" hidden="false" customHeight="false" outlineLevel="0" collapsed="false">
      <c r="A7" s="7" t="s">
        <v>305</v>
      </c>
      <c r="B7" s="2"/>
      <c r="C7" s="35" t="n">
        <f aca="false">C6*C5</f>
        <v>8100000</v>
      </c>
      <c r="D7" s="35" t="n">
        <f aca="false">D6*D5</f>
        <v>9450000</v>
      </c>
      <c r="E7" s="35" t="n">
        <f aca="false">E6*E5</f>
        <v>10125000</v>
      </c>
      <c r="F7" s="35" t="n">
        <f aca="false">F6*F5</f>
        <v>10800000</v>
      </c>
      <c r="G7" s="35" t="n">
        <f aca="false">G6*G5</f>
        <v>11475000</v>
      </c>
      <c r="H7" s="35" t="n">
        <f aca="false">H6*H5</f>
        <v>12150000</v>
      </c>
    </row>
    <row r="8" customFormat="false" ht="15" hidden="false" customHeight="false" outlineLevel="0" collapsed="false">
      <c r="A8" s="7" t="s">
        <v>306</v>
      </c>
      <c r="B8" s="2"/>
      <c r="C8" s="35" t="n">
        <f aca="false">C6-C7</f>
        <v>5400000</v>
      </c>
      <c r="D8" s="35" t="n">
        <f aca="false">D6-D7</f>
        <v>4050000</v>
      </c>
      <c r="E8" s="35" t="n">
        <f aca="false">E6-E7</f>
        <v>3375000</v>
      </c>
      <c r="F8" s="35" t="n">
        <f aca="false">F6-F7</f>
        <v>2700000</v>
      </c>
      <c r="G8" s="35" t="n">
        <f aca="false">G6-G7</f>
        <v>2025000</v>
      </c>
      <c r="H8" s="35" t="n">
        <f aca="false">H6-H7</f>
        <v>1350000</v>
      </c>
    </row>
    <row r="9" customFormat="false" ht="15" hidden="false" customHeight="false" outlineLevel="0" collapsed="false">
      <c r="A9" s="7" t="s">
        <v>307</v>
      </c>
      <c r="B9" s="2"/>
      <c r="C9" s="33" t="n">
        <f aca="false">Assumptions!$F$9+Assumptions!$F$10+Assumptions!$F$11+Assumptions!$F$12+Assumptions!$F$13+Assumptions!$F$14</f>
        <v>650000</v>
      </c>
      <c r="D9" s="33" t="n">
        <f aca="false">Assumptions!$F$9+Assumptions!$F$10+Assumptions!$F$11+Assumptions!$F$12+Assumptions!$F$13+Assumptions!$F$14</f>
        <v>650000</v>
      </c>
      <c r="E9" s="33" t="n">
        <f aca="false">Assumptions!$F$9+Assumptions!$F$10+Assumptions!$F$11+Assumptions!$F$12+Assumptions!$F$13+Assumptions!$F$14</f>
        <v>650000</v>
      </c>
      <c r="F9" s="33" t="n">
        <f aca="false">Assumptions!$F$9+Assumptions!$F$10+Assumptions!$F$11+Assumptions!$F$12+Assumptions!$F$13+Assumptions!$F$14</f>
        <v>650000</v>
      </c>
      <c r="G9" s="33" t="n">
        <f aca="false">Assumptions!$F$9+Assumptions!$F$10+Assumptions!$F$11+Assumptions!$F$12+Assumptions!$F$13+Assumptions!$F$14</f>
        <v>650000</v>
      </c>
      <c r="H9" s="33" t="n">
        <f aca="false">Assumptions!$F$9+Assumptions!$F$10+Assumptions!$F$11+Assumptions!$F$12+Assumptions!$F$13+Assumptions!$F$14</f>
        <v>650000</v>
      </c>
    </row>
    <row r="10" customFormat="false" ht="15" hidden="false" customHeight="false" outlineLevel="0" collapsed="false">
      <c r="A10" s="7" t="s">
        <v>308</v>
      </c>
      <c r="B10" s="2"/>
      <c r="C10" s="33" t="n">
        <f aca="false">'Unit Economics'!$F$38</f>
        <v>618625</v>
      </c>
      <c r="D10" s="33" t="n">
        <f aca="false">'Unit Economics'!$F$38</f>
        <v>618625</v>
      </c>
      <c r="E10" s="33" t="n">
        <f aca="false">'Unit Economics'!$F$38</f>
        <v>618625</v>
      </c>
      <c r="F10" s="33" t="n">
        <f aca="false">'Unit Economics'!$F$38</f>
        <v>618625</v>
      </c>
      <c r="G10" s="33" t="n">
        <f aca="false">'Unit Economics'!$F$38</f>
        <v>618625</v>
      </c>
      <c r="H10" s="33" t="n">
        <f aca="false">'Unit Economics'!$F$38</f>
        <v>618625</v>
      </c>
    </row>
    <row r="11" customFormat="false" ht="15" hidden="false" customHeight="false" outlineLevel="0" collapsed="false">
      <c r="A11" s="12" t="s">
        <v>309</v>
      </c>
      <c r="B11" s="2"/>
      <c r="C11" s="34" t="n">
        <f aca="false">SUM(C8:C10)</f>
        <v>6668625</v>
      </c>
      <c r="D11" s="34" t="n">
        <f aca="false">SUM(D8:D10)</f>
        <v>5318625</v>
      </c>
      <c r="E11" s="34" t="n">
        <f aca="false">SUM(E8:E10)</f>
        <v>4643625</v>
      </c>
      <c r="F11" s="34" t="n">
        <f aca="false">SUM(F8:F10)</f>
        <v>3968625</v>
      </c>
      <c r="G11" s="34" t="n">
        <f aca="false">SUM(G8:G10)</f>
        <v>3293625</v>
      </c>
      <c r="H11" s="34" t="n">
        <f aca="false">SUM(H8:H10)</f>
        <v>2618625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7" t="s">
        <v>285</v>
      </c>
      <c r="B13" s="2"/>
      <c r="C13" s="33" t="n">
        <f aca="false">PMT(Assumptions!$F$17,Assumptions!$F$18,-C7)</f>
        <v>903430.672021453</v>
      </c>
      <c r="D13" s="33" t="n">
        <f aca="false">PMT(Assumptions!$F$17,Assumptions!$F$18,-D7)</f>
        <v>1054002.4506917</v>
      </c>
      <c r="E13" s="33" t="n">
        <f aca="false">PMT(Assumptions!$F$17,Assumptions!$F$18,-E7)</f>
        <v>1129288.34002682</v>
      </c>
      <c r="F13" s="33" t="n">
        <f aca="false">PMT(Assumptions!$F$17,Assumptions!$F$18,-F7)</f>
        <v>1204574.22936194</v>
      </c>
      <c r="G13" s="33" t="n">
        <f aca="false">PMT(Assumptions!$F$17,Assumptions!$F$18,-G7)</f>
        <v>1279860.11869706</v>
      </c>
      <c r="H13" s="33" t="n">
        <f aca="false">PMT(Assumptions!$F$17,Assumptions!$F$18,-H7)</f>
        <v>1355146.00803218</v>
      </c>
    </row>
    <row r="14" customFormat="false" ht="15" hidden="false" customHeight="false" outlineLevel="0" collapsed="false">
      <c r="A14" s="7" t="s">
        <v>310</v>
      </c>
      <c r="B14" s="2"/>
      <c r="C14" s="35" t="n">
        <f aca="false">C13/12</f>
        <v>75285.8893351211</v>
      </c>
      <c r="D14" s="35" t="n">
        <f aca="false">D13/12</f>
        <v>87833.5375576413</v>
      </c>
      <c r="E14" s="35" t="n">
        <f aca="false">E13/12</f>
        <v>94107.3616689013</v>
      </c>
      <c r="F14" s="35" t="n">
        <f aca="false">F13/12</f>
        <v>100381.185780161</v>
      </c>
      <c r="G14" s="35" t="n">
        <f aca="false">G13/12</f>
        <v>106655.009891422</v>
      </c>
      <c r="H14" s="35" t="n">
        <f aca="false">H13/12</f>
        <v>112928.834002682</v>
      </c>
    </row>
    <row r="15" customFormat="false" ht="15" hidden="false" customHeight="false" outlineLevel="0" collapsed="false">
      <c r="A15" s="7" t="s">
        <v>311</v>
      </c>
      <c r="B15" s="2"/>
      <c r="C15" s="33" t="n">
        <f aca="false">'Unit Economics'!$F$25</f>
        <v>509050</v>
      </c>
      <c r="D15" s="33" t="n">
        <f aca="false">'Unit Economics'!$F$25</f>
        <v>509050</v>
      </c>
      <c r="E15" s="33" t="n">
        <f aca="false">'Unit Economics'!$F$25</f>
        <v>509050</v>
      </c>
      <c r="F15" s="33" t="n">
        <f aca="false">'Unit Economics'!$F$25</f>
        <v>509050</v>
      </c>
      <c r="G15" s="33" t="n">
        <f aca="false">'Unit Economics'!$F$25</f>
        <v>509050</v>
      </c>
      <c r="H15" s="33" t="n">
        <f aca="false">'Unit Economics'!$F$25</f>
        <v>509050</v>
      </c>
    </row>
    <row r="16" customFormat="false" ht="15" hidden="false" customHeight="false" outlineLevel="0" collapsed="false">
      <c r="A16" s="12" t="s">
        <v>193</v>
      </c>
      <c r="B16" s="2"/>
      <c r="C16" s="34" t="n">
        <f aca="false">C15-C13</f>
        <v>-394380.672021453</v>
      </c>
      <c r="D16" s="34" t="n">
        <f aca="false">D15-D13</f>
        <v>-544952.450691695</v>
      </c>
      <c r="E16" s="34" t="n">
        <f aca="false">E15-E13</f>
        <v>-620238.340026816</v>
      </c>
      <c r="F16" s="34" t="n">
        <f aca="false">F15-F13</f>
        <v>-695524.229361937</v>
      </c>
      <c r="G16" s="34" t="n">
        <f aca="false">G15-G13</f>
        <v>-770810.118697058</v>
      </c>
      <c r="H16" s="34" t="n">
        <f aca="false">H15-H13</f>
        <v>-846096.008032179</v>
      </c>
    </row>
    <row r="17" customFormat="false" ht="15" hidden="false" customHeight="false" outlineLevel="0" collapsed="false">
      <c r="A17" s="7" t="s">
        <v>312</v>
      </c>
      <c r="B17" s="2"/>
      <c r="C17" s="44" t="n">
        <f aca="false">IF(C13=0,0,C15/C13)</f>
        <v>0.563463269252289</v>
      </c>
      <c r="D17" s="44" t="n">
        <f aca="false">IF(D13=0,0,D15/D13)</f>
        <v>0.482968516501962</v>
      </c>
      <c r="E17" s="44" t="n">
        <f aca="false">IF(E13=0,0,E15/E13)</f>
        <v>0.450770615401831</v>
      </c>
      <c r="F17" s="44" t="n">
        <f aca="false">IF(F13=0,0,F15/F13)</f>
        <v>0.422597451939216</v>
      </c>
      <c r="G17" s="44" t="n">
        <f aca="false">IF(G13=0,0,G15/G13)</f>
        <v>0.397738778295733</v>
      </c>
      <c r="H17" s="44" t="n">
        <f aca="false">IF(H13=0,0,H15/H13)</f>
        <v>0.375642179501526</v>
      </c>
    </row>
    <row r="18" customFormat="false" ht="15" hidden="false" customHeight="false" outlineLevel="0" collapsed="false">
      <c r="A18" s="7" t="s">
        <v>313</v>
      </c>
      <c r="B18" s="2"/>
      <c r="C18" s="36" t="n">
        <f aca="false">IF(C11=0,0,C16/C11)</f>
        <v>-0.0591397285079687</v>
      </c>
      <c r="D18" s="36" t="n">
        <f aca="false">IF(D11=0,0,D16/D11)</f>
        <v>-0.102461153153624</v>
      </c>
      <c r="E18" s="36" t="n">
        <f aca="false">IF(E11=0,0,E16/E11)</f>
        <v>-0.133567706269739</v>
      </c>
      <c r="F18" s="36" t="n">
        <f aca="false">IF(F11=0,0,F16/F11)</f>
        <v>-0.175255719389445</v>
      </c>
      <c r="G18" s="36" t="n">
        <f aca="false">IF(G11=0,0,G16/G11)</f>
        <v>-0.234030929051443</v>
      </c>
      <c r="H18" s="36" t="n">
        <f aca="false">IF(H11=0,0,H16/H11)</f>
        <v>-0.323106977147235</v>
      </c>
    </row>
    <row r="19" customFormat="false" ht="15" hidden="false" customHeight="false" outlineLevel="0" collapsed="false">
      <c r="A19" s="12" t="s">
        <v>291</v>
      </c>
      <c r="B19" s="2"/>
      <c r="C19" s="9" t="n">
        <f aca="false">IF('Unit Economics'!$F$35&lt;=0,0,(-'Unit Economics'!$F$23+C13)/'Unit Economics'!$F$35)</f>
        <v>735.502721876466</v>
      </c>
      <c r="D19" s="9" t="n">
        <f aca="false">IF('Unit Economics'!$F$35&lt;=0,0,(-'Unit Economics'!$F$23+D13)/'Unit Economics'!$F$35)</f>
        <v>787.236712142826</v>
      </c>
      <c r="E19" s="9" t="n">
        <f aca="false">IF('Unit Economics'!$F$35&lt;=0,0,(-'Unit Economics'!$F$23+E13)/'Unit Economics'!$F$35)</f>
        <v>813.103707276006</v>
      </c>
      <c r="F19" s="9" t="n">
        <f aca="false">IF('Unit Economics'!$F$35&lt;=0,0,(-'Unit Economics'!$F$23+F13)/'Unit Economics'!$F$35)</f>
        <v>838.970702409187</v>
      </c>
      <c r="G19" s="9" t="n">
        <f aca="false">IF('Unit Economics'!$F$35&lt;=0,0,(-'Unit Economics'!$F$23+G13)/'Unit Economics'!$F$35)</f>
        <v>864.837697542367</v>
      </c>
      <c r="H19" s="9" t="n">
        <f aca="false">IF('Unit Economics'!$F$35&lt;=0,0,(-'Unit Economics'!$F$23+H13)/'Unit Economics'!$F$35)</f>
        <v>890.704692675547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12" t="s">
        <v>314</v>
      </c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3" t="s">
        <v>315</v>
      </c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3" t="s">
        <v>316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3" t="s">
        <v>317</v>
      </c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16" t="s">
        <v>318</v>
      </c>
      <c r="B26" s="17"/>
      <c r="C26" s="17"/>
      <c r="D26" s="17"/>
      <c r="E26" s="17"/>
      <c r="F26" s="17"/>
      <c r="G26" s="17"/>
      <c r="H26" s="17"/>
    </row>
    <row r="27" customFormat="false" ht="15" hidden="false" customHeight="false" outlineLevel="0" collapsed="false">
      <c r="A27" s="5" t="s">
        <v>215</v>
      </c>
      <c r="B27" s="6"/>
      <c r="C27" s="45" t="n">
        <f aca="false">C5</f>
        <v>0.6</v>
      </c>
      <c r="D27" s="45" t="n">
        <f aca="false">D5</f>
        <v>0.7</v>
      </c>
      <c r="E27" s="45" t="n">
        <f aca="false">E5</f>
        <v>0.75</v>
      </c>
      <c r="F27" s="45" t="n">
        <f aca="false">F5</f>
        <v>0.8</v>
      </c>
      <c r="G27" s="45" t="n">
        <f aca="false">G5</f>
        <v>0.85</v>
      </c>
      <c r="H27" s="45" t="n">
        <f aca="false">H5</f>
        <v>0.9</v>
      </c>
    </row>
    <row r="28" customFormat="false" ht="15" hidden="false" customHeight="false" outlineLevel="0" collapsed="false">
      <c r="A28" s="24" t="n">
        <v>400</v>
      </c>
      <c r="B28" s="2"/>
      <c r="C28" s="33" t="n">
        <f aca="false">$A28*'Unit Economics'!$F$35+'Unit Economics'!$F$23-C$13</f>
        <v>-976480.672021453</v>
      </c>
      <c r="D28" s="33" t="n">
        <f aca="false">$A28*'Unit Economics'!$F$35+'Unit Economics'!$F$23-D$13</f>
        <v>-1127052.4506917</v>
      </c>
      <c r="E28" s="33" t="n">
        <f aca="false">$A28*'Unit Economics'!$F$35+'Unit Economics'!$F$23-E$13</f>
        <v>-1202338.34002682</v>
      </c>
      <c r="F28" s="33" t="n">
        <f aca="false">$A28*'Unit Economics'!$F$35+'Unit Economics'!$F$23-F$13</f>
        <v>-1277624.22936194</v>
      </c>
      <c r="G28" s="33" t="n">
        <f aca="false">$A28*'Unit Economics'!$F$35+'Unit Economics'!$F$23-G$13</f>
        <v>-1352910.11869706</v>
      </c>
      <c r="H28" s="33" t="n">
        <f aca="false">$A28*'Unit Economics'!$F$35+'Unit Economics'!$F$23-H$13</f>
        <v>-1428196.00803218</v>
      </c>
    </row>
    <row r="29" customFormat="false" ht="15" hidden="false" customHeight="false" outlineLevel="0" collapsed="false">
      <c r="A29" s="24" t="n">
        <v>500</v>
      </c>
      <c r="B29" s="2"/>
      <c r="C29" s="33" t="n">
        <f aca="false">$A29*'Unit Economics'!$F$35+'Unit Economics'!$F$23-C$13</f>
        <v>-685430.672021453</v>
      </c>
      <c r="D29" s="33" t="n">
        <f aca="false">$A29*'Unit Economics'!$F$35+'Unit Economics'!$F$23-D$13</f>
        <v>-836002.450691695</v>
      </c>
      <c r="E29" s="33" t="n">
        <f aca="false">$A29*'Unit Economics'!$F$35+'Unit Economics'!$F$23-E$13</f>
        <v>-911288.340026816</v>
      </c>
      <c r="F29" s="33" t="n">
        <f aca="false">$A29*'Unit Economics'!$F$35+'Unit Economics'!$F$23-F$13</f>
        <v>-986574.229361938</v>
      </c>
      <c r="G29" s="33" t="n">
        <f aca="false">$A29*'Unit Economics'!$F$35+'Unit Economics'!$F$23-G$13</f>
        <v>-1061860.11869706</v>
      </c>
      <c r="H29" s="33" t="n">
        <f aca="false">$A29*'Unit Economics'!$F$35+'Unit Economics'!$F$23-H$13</f>
        <v>-1137146.00803218</v>
      </c>
    </row>
    <row r="30" customFormat="false" ht="15" hidden="false" customHeight="false" outlineLevel="0" collapsed="false">
      <c r="A30" s="24" t="n">
        <v>600</v>
      </c>
      <c r="B30" s="2"/>
      <c r="C30" s="33" t="n">
        <f aca="false">$A30*'Unit Economics'!$F$35+'Unit Economics'!$F$23-C$13</f>
        <v>-394380.672021453</v>
      </c>
      <c r="D30" s="33" t="n">
        <f aca="false">$A30*'Unit Economics'!$F$35+'Unit Economics'!$F$23-D$13</f>
        <v>-544952.450691695</v>
      </c>
      <c r="E30" s="33" t="n">
        <f aca="false">$A30*'Unit Economics'!$F$35+'Unit Economics'!$F$23-E$13</f>
        <v>-620238.340026816</v>
      </c>
      <c r="F30" s="33" t="n">
        <f aca="false">$A30*'Unit Economics'!$F$35+'Unit Economics'!$F$23-F$13</f>
        <v>-695524.229361938</v>
      </c>
      <c r="G30" s="33" t="n">
        <f aca="false">$A30*'Unit Economics'!$F$35+'Unit Economics'!$F$23-G$13</f>
        <v>-770810.118697059</v>
      </c>
      <c r="H30" s="33" t="n">
        <f aca="false">$A30*'Unit Economics'!$F$35+'Unit Economics'!$F$23-H$13</f>
        <v>-846096.00803218</v>
      </c>
    </row>
    <row r="31" customFormat="false" ht="15" hidden="false" customHeight="false" outlineLevel="0" collapsed="false">
      <c r="A31" s="24" t="n">
        <v>700</v>
      </c>
      <c r="B31" s="2"/>
      <c r="C31" s="33" t="n">
        <f aca="false">$A31*'Unit Economics'!$F$35+'Unit Economics'!$F$23-C$13</f>
        <v>-103330.672021453</v>
      </c>
      <c r="D31" s="33" t="n">
        <f aca="false">$A31*'Unit Economics'!$F$35+'Unit Economics'!$F$23-D$13</f>
        <v>-253902.450691695</v>
      </c>
      <c r="E31" s="33" t="n">
        <f aca="false">$A31*'Unit Economics'!$F$35+'Unit Economics'!$F$23-E$13</f>
        <v>-329188.340026816</v>
      </c>
      <c r="F31" s="33" t="n">
        <f aca="false">$A31*'Unit Economics'!$F$35+'Unit Economics'!$F$23-F$13</f>
        <v>-404474.229361938</v>
      </c>
      <c r="G31" s="33" t="n">
        <f aca="false">$A31*'Unit Economics'!$F$35+'Unit Economics'!$F$23-G$13</f>
        <v>-479760.118697059</v>
      </c>
      <c r="H31" s="33" t="n">
        <f aca="false">$A31*'Unit Economics'!$F$35+'Unit Economics'!$F$23-H$13</f>
        <v>-555046.00803218</v>
      </c>
    </row>
    <row r="32" customFormat="false" ht="15" hidden="false" customHeight="false" outlineLevel="0" collapsed="false">
      <c r="A32" s="24" t="n">
        <v>800</v>
      </c>
      <c r="B32" s="2"/>
      <c r="C32" s="33" t="n">
        <f aca="false">$A32*'Unit Economics'!$F$35+'Unit Economics'!$F$23-C$13</f>
        <v>187719.327978547</v>
      </c>
      <c r="D32" s="33" t="n">
        <f aca="false">$A32*'Unit Economics'!$F$35+'Unit Economics'!$F$23-D$13</f>
        <v>37147.5493083044</v>
      </c>
      <c r="E32" s="33" t="n">
        <f aca="false">$A32*'Unit Economics'!$F$35+'Unit Economics'!$F$23-E$13</f>
        <v>-38138.3400268166</v>
      </c>
      <c r="F32" s="33" t="n">
        <f aca="false">$A32*'Unit Economics'!$F$35+'Unit Economics'!$F$23-F$13</f>
        <v>-113424.229361938</v>
      </c>
      <c r="G32" s="33" t="n">
        <f aca="false">$A32*'Unit Economics'!$F$35+'Unit Economics'!$F$23-G$13</f>
        <v>-188710.118697059</v>
      </c>
      <c r="H32" s="33" t="n">
        <f aca="false">$A32*'Unit Economics'!$F$35+'Unit Economics'!$F$23-H$13</f>
        <v>-263996.00803218</v>
      </c>
    </row>
    <row r="33" customFormat="false" ht="15" hidden="false" customHeight="false" outlineLevel="0" collapsed="false">
      <c r="A33" s="24" t="n">
        <v>900</v>
      </c>
      <c r="B33" s="2"/>
      <c r="C33" s="33" t="n">
        <f aca="false">$A33*'Unit Economics'!$F$35+'Unit Economics'!$F$23-C$13</f>
        <v>478769.327978547</v>
      </c>
      <c r="D33" s="33" t="n">
        <f aca="false">$A33*'Unit Economics'!$F$35+'Unit Economics'!$F$23-D$13</f>
        <v>328197.549308304</v>
      </c>
      <c r="E33" s="33" t="n">
        <f aca="false">$A33*'Unit Economics'!$F$35+'Unit Economics'!$F$23-E$13</f>
        <v>252911.659973183</v>
      </c>
      <c r="F33" s="33" t="n">
        <f aca="false">$A33*'Unit Economics'!$F$35+'Unit Economics'!$F$23-F$13</f>
        <v>177625.770638062</v>
      </c>
      <c r="G33" s="33" t="n">
        <f aca="false">$A33*'Unit Economics'!$F$35+'Unit Economics'!$F$23-G$13</f>
        <v>102339.881302941</v>
      </c>
      <c r="H33" s="33" t="n">
        <f aca="false">$A33*'Unit Economics'!$F$35+'Unit Economics'!$F$23-H$13</f>
        <v>27053.9919678201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12" min="3" style="0" width="13"/>
  </cols>
  <sheetData>
    <row r="1" customFormat="false" ht="17.35" hidden="false" customHeight="false" outlineLevel="0" collapsed="false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320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5" t="s">
        <v>266</v>
      </c>
      <c r="B4" s="6"/>
      <c r="C4" s="6" t="s">
        <v>197</v>
      </c>
      <c r="D4" s="6" t="s">
        <v>198</v>
      </c>
      <c r="E4" s="6" t="s">
        <v>199</v>
      </c>
      <c r="F4" s="6" t="s">
        <v>200</v>
      </c>
      <c r="G4" s="6" t="s">
        <v>201</v>
      </c>
      <c r="H4" s="6" t="s">
        <v>202</v>
      </c>
      <c r="I4" s="6" t="s">
        <v>203</v>
      </c>
      <c r="J4" s="6" t="s">
        <v>204</v>
      </c>
      <c r="K4" s="6" t="s">
        <v>205</v>
      </c>
      <c r="L4" s="6" t="s">
        <v>206</v>
      </c>
    </row>
    <row r="5" customFormat="false" ht="15" hidden="false" customHeight="false" outlineLevel="0" collapsed="false">
      <c r="A5" s="13" t="s">
        <v>207</v>
      </c>
      <c r="B5" s="2"/>
      <c r="C5" s="37" t="n">
        <v>2027</v>
      </c>
      <c r="D5" s="37" t="n">
        <v>2028</v>
      </c>
      <c r="E5" s="37" t="n">
        <v>2029</v>
      </c>
      <c r="F5" s="37" t="n">
        <v>2030</v>
      </c>
      <c r="G5" s="37" t="n">
        <v>2031</v>
      </c>
      <c r="H5" s="37" t="n">
        <v>2032</v>
      </c>
      <c r="I5" s="37" t="n">
        <v>2033</v>
      </c>
      <c r="J5" s="37" t="n">
        <v>2034</v>
      </c>
      <c r="K5" s="37" t="n">
        <v>2035</v>
      </c>
      <c r="L5" s="37" t="n">
        <v>2036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16" t="s">
        <v>321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customFormat="false" ht="15" hidden="false" customHeight="false" outlineLevel="0" collapsed="false">
      <c r="A8" s="7" t="s">
        <v>322</v>
      </c>
      <c r="B8" s="46" t="n">
        <f aca="false">2027+COUNTIF('Fleet Plan'!$C$9:$L$9,"&lt;1")</f>
        <v>2027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7" t="s">
        <v>323</v>
      </c>
      <c r="B9" s="33" t="n">
        <f aca="false">IF($B$8&gt;2036,0,Assumptions!$F$7*(1+Assumptions!$F$8)^($B$8-2027))</f>
        <v>13500000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7" t="s">
        <v>305</v>
      </c>
      <c r="B10" s="33" t="n">
        <f aca="false">$B$9*Assumptions!$F$16</f>
        <v>10800000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7" t="s">
        <v>324</v>
      </c>
      <c r="B11" s="33" t="n">
        <f aca="false">IF($B$10=0,0,PMT(Assumptions!$F$17,Assumptions!$F$18,-$B$10))</f>
        <v>1204574.22936194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7" t="s">
        <v>325</v>
      </c>
      <c r="B12" s="2"/>
      <c r="C12" s="35" t="n">
        <f aca="false">IF(C$5=$B$8,$B$10,IF(C$5&gt;$B$8,0,0))</f>
        <v>10800000</v>
      </c>
      <c r="D12" s="35" t="n">
        <f aca="false">IF(D$5=$B$8,$B$10,IF(D$5&gt;$B$8,C16,0))</f>
        <v>10378425.7706381</v>
      </c>
      <c r="E12" s="35" t="n">
        <f aca="false">IF(E$5=$B$8,$B$10,IF(E$5&gt;$B$8,D16,0))</f>
        <v>9926287.40964739</v>
      </c>
      <c r="F12" s="35" t="n">
        <f aca="false">IF(F$5=$B$8,$B$10,IF(F$5&gt;$B$8,E16,0))</f>
        <v>9441369.01748489</v>
      </c>
      <c r="G12" s="35" t="n">
        <f aca="false">IF(G$5=$B$8,$B$10,IF(G$5&gt;$B$8,F16,0))</f>
        <v>8921294.0418906</v>
      </c>
      <c r="H12" s="35" t="n">
        <f aca="false">IF(H$5=$B$8,$B$10,IF(H$5&gt;$B$8,G16,0))</f>
        <v>8363513.63056573</v>
      </c>
      <c r="I12" s="35" t="n">
        <f aca="false">IF(I$5=$B$8,$B$10,IF(I$5&gt;$B$8,H16,0))</f>
        <v>7765294.13941981</v>
      </c>
      <c r="J12" s="35" t="n">
        <f aca="false">IF(J$5=$B$8,$B$10,IF(J$5&gt;$B$8,I16,0))</f>
        <v>7123703.73516581</v>
      </c>
      <c r="K12" s="35" t="n">
        <f aca="false">IF(K$5=$B$8,$B$10,IF(K$5&gt;$B$8,J16,0))</f>
        <v>6435598.02660339</v>
      </c>
      <c r="L12" s="35" t="n">
        <f aca="false">IF(L$5=$B$8,$B$10,IF(L$5&gt;$B$8,K16,0))</f>
        <v>5697604.6541702</v>
      </c>
    </row>
    <row r="13" customFormat="false" ht="15" hidden="false" customHeight="false" outlineLevel="0" collapsed="false">
      <c r="A13" s="7" t="s">
        <v>236</v>
      </c>
      <c r="B13" s="2"/>
      <c r="C13" s="33" t="n">
        <f aca="false">C12*Assumptions!$F$17</f>
        <v>783000</v>
      </c>
      <c r="D13" s="33" t="n">
        <f aca="false">D12*Assumptions!$F$17</f>
        <v>752435.86837126</v>
      </c>
      <c r="E13" s="33" t="n">
        <f aca="false">E12*Assumptions!$F$17</f>
        <v>719655.837199436</v>
      </c>
      <c r="F13" s="33" t="n">
        <f aca="false">F12*Assumptions!$F$17</f>
        <v>684499.253767654</v>
      </c>
      <c r="G13" s="33" t="n">
        <f aca="false">G12*Assumptions!$F$17</f>
        <v>646793.818037069</v>
      </c>
      <c r="H13" s="33" t="n">
        <f aca="false">H12*Assumptions!$F$17</f>
        <v>606354.738216016</v>
      </c>
      <c r="I13" s="33" t="n">
        <f aca="false">I12*Assumptions!$F$17</f>
        <v>562983.825107936</v>
      </c>
      <c r="J13" s="33" t="n">
        <f aca="false">J12*Assumptions!$F$17</f>
        <v>516468.520799521</v>
      </c>
      <c r="K13" s="33" t="n">
        <f aca="false">K12*Assumptions!$F$17</f>
        <v>466580.856928746</v>
      </c>
      <c r="L13" s="33" t="n">
        <f aca="false">L12*Assumptions!$F$17</f>
        <v>413076.33742734</v>
      </c>
    </row>
    <row r="14" customFormat="false" ht="15" hidden="false" customHeight="false" outlineLevel="0" collapsed="false">
      <c r="A14" s="7" t="s">
        <v>326</v>
      </c>
      <c r="B14" s="2"/>
      <c r="C14" s="35" t="n">
        <f aca="false">IF(C12&gt;0,MIN($B$11,C12+C13),0)</f>
        <v>1204574.22936194</v>
      </c>
      <c r="D14" s="35" t="n">
        <f aca="false">IF(D12&gt;0,MIN($B$11,D12+D13),0)</f>
        <v>1204574.22936194</v>
      </c>
      <c r="E14" s="35" t="n">
        <f aca="false">IF(E12&gt;0,MIN($B$11,E12+E13),0)</f>
        <v>1204574.22936194</v>
      </c>
      <c r="F14" s="35" t="n">
        <f aca="false">IF(F12&gt;0,MIN($B$11,F12+F13),0)</f>
        <v>1204574.22936194</v>
      </c>
      <c r="G14" s="35" t="n">
        <f aca="false">IF(G12&gt;0,MIN($B$11,G12+G13),0)</f>
        <v>1204574.22936194</v>
      </c>
      <c r="H14" s="35" t="n">
        <f aca="false">IF(H12&gt;0,MIN($B$11,H12+H13),0)</f>
        <v>1204574.22936194</v>
      </c>
      <c r="I14" s="35" t="n">
        <f aca="false">IF(I12&gt;0,MIN($B$11,I12+I13),0)</f>
        <v>1204574.22936194</v>
      </c>
      <c r="J14" s="35" t="n">
        <f aca="false">IF(J12&gt;0,MIN($B$11,J12+J13),0)</f>
        <v>1204574.22936194</v>
      </c>
      <c r="K14" s="35" t="n">
        <f aca="false">IF(K12&gt;0,MIN($B$11,K12+K13),0)</f>
        <v>1204574.22936194</v>
      </c>
      <c r="L14" s="35" t="n">
        <f aca="false">IF(L12&gt;0,MIN($B$11,L12+L13),0)</f>
        <v>1204574.22936194</v>
      </c>
    </row>
    <row r="15" customFormat="false" ht="15" hidden="false" customHeight="false" outlineLevel="0" collapsed="false">
      <c r="A15" s="7" t="s">
        <v>327</v>
      </c>
      <c r="B15" s="2"/>
      <c r="C15" s="35" t="n">
        <f aca="false">C14-C13</f>
        <v>421574.229361937</v>
      </c>
      <c r="D15" s="35" t="n">
        <f aca="false">D14-D13</f>
        <v>452138.360990678</v>
      </c>
      <c r="E15" s="35" t="n">
        <f aca="false">E14-E13</f>
        <v>484918.392162502</v>
      </c>
      <c r="F15" s="35" t="n">
        <f aca="false">F14-F13</f>
        <v>520074.975594283</v>
      </c>
      <c r="G15" s="35" t="n">
        <f aca="false">G14-G13</f>
        <v>557780.411324869</v>
      </c>
      <c r="H15" s="35" t="n">
        <f aca="false">H14-H13</f>
        <v>598219.491145922</v>
      </c>
      <c r="I15" s="35" t="n">
        <f aca="false">I14-I13</f>
        <v>641590.404254001</v>
      </c>
      <c r="J15" s="35" t="n">
        <f aca="false">J14-J13</f>
        <v>688105.708562416</v>
      </c>
      <c r="K15" s="35" t="n">
        <f aca="false">K14-K13</f>
        <v>737993.372433191</v>
      </c>
      <c r="L15" s="35" t="n">
        <f aca="false">L14-L13</f>
        <v>791497.891934598</v>
      </c>
    </row>
    <row r="16" customFormat="false" ht="15" hidden="false" customHeight="false" outlineLevel="0" collapsed="false">
      <c r="A16" s="7" t="s">
        <v>328</v>
      </c>
      <c r="B16" s="2"/>
      <c r="C16" s="35" t="n">
        <f aca="false">C12-C15</f>
        <v>10378425.7706381</v>
      </c>
      <c r="D16" s="35" t="n">
        <f aca="false">D12-D15</f>
        <v>9926287.40964739</v>
      </c>
      <c r="E16" s="35" t="n">
        <f aca="false">E12-E15</f>
        <v>9441369.01748489</v>
      </c>
      <c r="F16" s="35" t="n">
        <f aca="false">F12-F15</f>
        <v>8921294.0418906</v>
      </c>
      <c r="G16" s="35" t="n">
        <f aca="false">G12-G15</f>
        <v>8363513.63056573</v>
      </c>
      <c r="H16" s="35" t="n">
        <f aca="false">H12-H15</f>
        <v>7765294.13941981</v>
      </c>
      <c r="I16" s="35" t="n">
        <f aca="false">I12-I15</f>
        <v>7123703.73516581</v>
      </c>
      <c r="J16" s="35" t="n">
        <f aca="false">J12-J15</f>
        <v>6435598.02660339</v>
      </c>
      <c r="K16" s="35" t="n">
        <f aca="false">K12-K15</f>
        <v>5697604.6541702</v>
      </c>
      <c r="L16" s="35" t="n">
        <f aca="false">L12-L15</f>
        <v>4906106.7622356</v>
      </c>
    </row>
    <row r="17" customFormat="false" ht="15" hidden="false" customHeight="false" outlineLevel="0" collapsed="false">
      <c r="A17" s="7" t="s">
        <v>329</v>
      </c>
      <c r="B17" s="2"/>
      <c r="C17" s="33" t="n">
        <f aca="false">IF(C$5&gt;=$B$8,$B$9*(1-Assumptions!$F$63)^(C$5-$B$8+1),0)</f>
        <v>12825000</v>
      </c>
      <c r="D17" s="33" t="n">
        <f aca="false">IF(D$5&gt;=$B$8,$B$9*(1-Assumptions!$F$63)^(D$5-$B$8+1),0)</f>
        <v>12183750</v>
      </c>
      <c r="E17" s="33" t="n">
        <f aca="false">IF(E$5&gt;=$B$8,$B$9*(1-Assumptions!$F$63)^(E$5-$B$8+1),0)</f>
        <v>11574562.5</v>
      </c>
      <c r="F17" s="33" t="n">
        <f aca="false">IF(F$5&gt;=$B$8,$B$9*(1-Assumptions!$F$63)^(F$5-$B$8+1),0)</f>
        <v>10995834.375</v>
      </c>
      <c r="G17" s="33" t="n">
        <f aca="false">IF(G$5&gt;=$B$8,$B$9*(1-Assumptions!$F$63)^(G$5-$B$8+1),0)</f>
        <v>10446042.65625</v>
      </c>
      <c r="H17" s="33" t="n">
        <f aca="false">IF(H$5&gt;=$B$8,$B$9*(1-Assumptions!$F$63)^(H$5-$B$8+1),0)</f>
        <v>9923740.5234375</v>
      </c>
      <c r="I17" s="33" t="n">
        <f aca="false">IF(I$5&gt;=$B$8,$B$9*(1-Assumptions!$F$63)^(I$5-$B$8+1),0)</f>
        <v>9427553.49726562</v>
      </c>
      <c r="J17" s="33" t="n">
        <f aca="false">IF(J$5&gt;=$B$8,$B$9*(1-Assumptions!$F$63)^(J$5-$B$8+1),0)</f>
        <v>8956175.82240234</v>
      </c>
      <c r="K17" s="33" t="n">
        <f aca="false">IF(K$5&gt;=$B$8,$B$9*(1-Assumptions!$F$63)^(K$5-$B$8+1),0)</f>
        <v>8508367.03128222</v>
      </c>
      <c r="L17" s="33" t="n">
        <f aca="false">IF(L$5&gt;=$B$8,$B$9*(1-Assumptions!$F$63)^(L$5-$B$8+1),0)</f>
        <v>8082948.67971811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16" t="s">
        <v>330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customFormat="false" ht="15" hidden="false" customHeight="false" outlineLevel="0" collapsed="false">
      <c r="A20" s="7" t="s">
        <v>322</v>
      </c>
      <c r="B20" s="46" t="n">
        <f aca="false">2027+COUNTIF('Fleet Plan'!$C$9:$L$9,"&lt;2")</f>
        <v>2030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7" t="s">
        <v>323</v>
      </c>
      <c r="B21" s="33" t="n">
        <f aca="false">IF($B$20&gt;2036,0,Assumptions!$F$7*(1+Assumptions!$F$8)^($B$20-2027))</f>
        <v>13500000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7" t="s">
        <v>305</v>
      </c>
      <c r="B22" s="33" t="n">
        <f aca="false">$B$21*Assumptions!$F$16</f>
        <v>10800000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7" t="s">
        <v>324</v>
      </c>
      <c r="B23" s="33" t="n">
        <f aca="false">IF($B$22=0,0,PMT(Assumptions!$F$17,Assumptions!$F$18,-$B$22))</f>
        <v>1204574.22936194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7" t="s">
        <v>325</v>
      </c>
      <c r="B24" s="2"/>
      <c r="C24" s="35" t="n">
        <f aca="false">IF(C$5=$B$20,$B$22,IF(C$5&gt;$B$20,0,0))</f>
        <v>0</v>
      </c>
      <c r="D24" s="35" t="n">
        <f aca="false">IF(D$5=$B$20,$B$22,IF(D$5&gt;$B$20,C28,0))</f>
        <v>0</v>
      </c>
      <c r="E24" s="35" t="n">
        <f aca="false">IF(E$5=$B$20,$B$22,IF(E$5&gt;$B$20,D28,0))</f>
        <v>0</v>
      </c>
      <c r="F24" s="35" t="n">
        <f aca="false">IF(F$5=$B$20,$B$22,IF(F$5&gt;$B$20,E28,0))</f>
        <v>10800000</v>
      </c>
      <c r="G24" s="35" t="n">
        <f aca="false">IF(G$5=$B$20,$B$22,IF(G$5&gt;$B$20,F28,0))</f>
        <v>10378425.7706381</v>
      </c>
      <c r="H24" s="35" t="n">
        <f aca="false">IF(H$5=$B$20,$B$22,IF(H$5&gt;$B$20,G28,0))</f>
        <v>9926287.40964739</v>
      </c>
      <c r="I24" s="35" t="n">
        <f aca="false">IF(I$5=$B$20,$B$22,IF(I$5&gt;$B$20,H28,0))</f>
        <v>9441369.01748489</v>
      </c>
      <c r="J24" s="35" t="n">
        <f aca="false">IF(J$5=$B$20,$B$22,IF(J$5&gt;$B$20,I28,0))</f>
        <v>8921294.0418906</v>
      </c>
      <c r="K24" s="35" t="n">
        <f aca="false">IF(K$5=$B$20,$B$22,IF(K$5&gt;$B$20,J28,0))</f>
        <v>8363513.63056573</v>
      </c>
      <c r="L24" s="35" t="n">
        <f aca="false">IF(L$5=$B$20,$B$22,IF(L$5&gt;$B$20,K28,0))</f>
        <v>7765294.13941981</v>
      </c>
    </row>
    <row r="25" customFormat="false" ht="15" hidden="false" customHeight="false" outlineLevel="0" collapsed="false">
      <c r="A25" s="7" t="s">
        <v>236</v>
      </c>
      <c r="B25" s="2"/>
      <c r="C25" s="33" t="n">
        <f aca="false">C24*Assumptions!$F$17</f>
        <v>0</v>
      </c>
      <c r="D25" s="33" t="n">
        <f aca="false">D24*Assumptions!$F$17</f>
        <v>0</v>
      </c>
      <c r="E25" s="33" t="n">
        <f aca="false">E24*Assumptions!$F$17</f>
        <v>0</v>
      </c>
      <c r="F25" s="33" t="n">
        <f aca="false">F24*Assumptions!$F$17</f>
        <v>783000</v>
      </c>
      <c r="G25" s="33" t="n">
        <f aca="false">G24*Assumptions!$F$17</f>
        <v>752435.86837126</v>
      </c>
      <c r="H25" s="33" t="n">
        <f aca="false">H24*Assumptions!$F$17</f>
        <v>719655.837199436</v>
      </c>
      <c r="I25" s="33" t="n">
        <f aca="false">I24*Assumptions!$F$17</f>
        <v>684499.253767654</v>
      </c>
      <c r="J25" s="33" t="n">
        <f aca="false">J24*Assumptions!$F$17</f>
        <v>646793.818037069</v>
      </c>
      <c r="K25" s="33" t="n">
        <f aca="false">K24*Assumptions!$F$17</f>
        <v>606354.738216016</v>
      </c>
      <c r="L25" s="33" t="n">
        <f aca="false">L24*Assumptions!$F$17</f>
        <v>562983.825107936</v>
      </c>
    </row>
    <row r="26" customFormat="false" ht="15" hidden="false" customHeight="false" outlineLevel="0" collapsed="false">
      <c r="A26" s="7" t="s">
        <v>326</v>
      </c>
      <c r="B26" s="2"/>
      <c r="C26" s="35" t="n">
        <f aca="false">IF(C24&gt;0,MIN($B$23,C24+C25),0)</f>
        <v>0</v>
      </c>
      <c r="D26" s="35" t="n">
        <f aca="false">IF(D24&gt;0,MIN($B$23,D24+D25),0)</f>
        <v>0</v>
      </c>
      <c r="E26" s="35" t="n">
        <f aca="false">IF(E24&gt;0,MIN($B$23,E24+E25),0)</f>
        <v>0</v>
      </c>
      <c r="F26" s="35" t="n">
        <f aca="false">IF(F24&gt;0,MIN($B$23,F24+F25),0)</f>
        <v>1204574.22936194</v>
      </c>
      <c r="G26" s="35" t="n">
        <f aca="false">IF(G24&gt;0,MIN($B$23,G24+G25),0)</f>
        <v>1204574.22936194</v>
      </c>
      <c r="H26" s="35" t="n">
        <f aca="false">IF(H24&gt;0,MIN($B$23,H24+H25),0)</f>
        <v>1204574.22936194</v>
      </c>
      <c r="I26" s="35" t="n">
        <f aca="false">IF(I24&gt;0,MIN($B$23,I24+I25),0)</f>
        <v>1204574.22936194</v>
      </c>
      <c r="J26" s="35" t="n">
        <f aca="false">IF(J24&gt;0,MIN($B$23,J24+J25),0)</f>
        <v>1204574.22936194</v>
      </c>
      <c r="K26" s="35" t="n">
        <f aca="false">IF(K24&gt;0,MIN($B$23,K24+K25),0)</f>
        <v>1204574.22936194</v>
      </c>
      <c r="L26" s="35" t="n">
        <f aca="false">IF(L24&gt;0,MIN($B$23,L24+L25),0)</f>
        <v>1204574.22936194</v>
      </c>
    </row>
    <row r="27" customFormat="false" ht="15" hidden="false" customHeight="false" outlineLevel="0" collapsed="false">
      <c r="A27" s="7" t="s">
        <v>327</v>
      </c>
      <c r="B27" s="2"/>
      <c r="C27" s="35" t="n">
        <f aca="false">C26-C25</f>
        <v>0</v>
      </c>
      <c r="D27" s="35" t="n">
        <f aca="false">D26-D25</f>
        <v>0</v>
      </c>
      <c r="E27" s="35" t="n">
        <f aca="false">E26-E25</f>
        <v>0</v>
      </c>
      <c r="F27" s="35" t="n">
        <f aca="false">F26-F25</f>
        <v>421574.229361937</v>
      </c>
      <c r="G27" s="35" t="n">
        <f aca="false">G26-G25</f>
        <v>452138.360990678</v>
      </c>
      <c r="H27" s="35" t="n">
        <f aca="false">H26-H25</f>
        <v>484918.392162502</v>
      </c>
      <c r="I27" s="35" t="n">
        <f aca="false">I26-I25</f>
        <v>520074.975594283</v>
      </c>
      <c r="J27" s="35" t="n">
        <f aca="false">J26-J25</f>
        <v>557780.411324869</v>
      </c>
      <c r="K27" s="35" t="n">
        <f aca="false">K26-K25</f>
        <v>598219.491145922</v>
      </c>
      <c r="L27" s="35" t="n">
        <f aca="false">L26-L25</f>
        <v>641590.404254001</v>
      </c>
    </row>
    <row r="28" customFormat="false" ht="15" hidden="false" customHeight="false" outlineLevel="0" collapsed="false">
      <c r="A28" s="7" t="s">
        <v>328</v>
      </c>
      <c r="B28" s="2"/>
      <c r="C28" s="35" t="n">
        <f aca="false">C24-C27</f>
        <v>0</v>
      </c>
      <c r="D28" s="35" t="n">
        <f aca="false">D24-D27</f>
        <v>0</v>
      </c>
      <c r="E28" s="35" t="n">
        <f aca="false">E24-E27</f>
        <v>0</v>
      </c>
      <c r="F28" s="35" t="n">
        <f aca="false">F24-F27</f>
        <v>10378425.7706381</v>
      </c>
      <c r="G28" s="35" t="n">
        <f aca="false">G24-G27</f>
        <v>9926287.40964739</v>
      </c>
      <c r="H28" s="35" t="n">
        <f aca="false">H24-H27</f>
        <v>9441369.01748489</v>
      </c>
      <c r="I28" s="35" t="n">
        <f aca="false">I24-I27</f>
        <v>8921294.0418906</v>
      </c>
      <c r="J28" s="35" t="n">
        <f aca="false">J24-J27</f>
        <v>8363513.63056573</v>
      </c>
      <c r="K28" s="35" t="n">
        <f aca="false">K24-K27</f>
        <v>7765294.13941981</v>
      </c>
      <c r="L28" s="35" t="n">
        <f aca="false">L24-L27</f>
        <v>7123703.73516581</v>
      </c>
    </row>
    <row r="29" customFormat="false" ht="15" hidden="false" customHeight="false" outlineLevel="0" collapsed="false">
      <c r="A29" s="7" t="s">
        <v>329</v>
      </c>
      <c r="B29" s="2"/>
      <c r="C29" s="33" t="n">
        <f aca="false">IF(C$5&gt;=$B$20,$B$21*(1-Assumptions!$F$63)^(C$5-$B$20+1),0)</f>
        <v>0</v>
      </c>
      <c r="D29" s="33" t="n">
        <f aca="false">IF(D$5&gt;=$B$20,$B$21*(1-Assumptions!$F$63)^(D$5-$B$20+1),0)</f>
        <v>0</v>
      </c>
      <c r="E29" s="33" t="n">
        <f aca="false">IF(E$5&gt;=$B$20,$B$21*(1-Assumptions!$F$63)^(E$5-$B$20+1),0)</f>
        <v>0</v>
      </c>
      <c r="F29" s="33" t="n">
        <f aca="false">IF(F$5&gt;=$B$20,$B$21*(1-Assumptions!$F$63)^(F$5-$B$20+1),0)</f>
        <v>12825000</v>
      </c>
      <c r="G29" s="33" t="n">
        <f aca="false">IF(G$5&gt;=$B$20,$B$21*(1-Assumptions!$F$63)^(G$5-$B$20+1),0)</f>
        <v>12183750</v>
      </c>
      <c r="H29" s="33" t="n">
        <f aca="false">IF(H$5&gt;=$B$20,$B$21*(1-Assumptions!$F$63)^(H$5-$B$20+1),0)</f>
        <v>11574562.5</v>
      </c>
      <c r="I29" s="33" t="n">
        <f aca="false">IF(I$5&gt;=$B$20,$B$21*(1-Assumptions!$F$63)^(I$5-$B$20+1),0)</f>
        <v>10995834.375</v>
      </c>
      <c r="J29" s="33" t="n">
        <f aca="false">IF(J$5&gt;=$B$20,$B$21*(1-Assumptions!$F$63)^(J$5-$B$20+1),0)</f>
        <v>10446042.65625</v>
      </c>
      <c r="K29" s="33" t="n">
        <f aca="false">IF(K$5&gt;=$B$20,$B$21*(1-Assumptions!$F$63)^(K$5-$B$20+1),0)</f>
        <v>9923740.5234375</v>
      </c>
      <c r="L29" s="33" t="n">
        <f aca="false">IF(L$5&gt;=$B$20,$B$21*(1-Assumptions!$F$63)^(L$5-$B$20+1),0)</f>
        <v>9427553.49726562</v>
      </c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16" t="s">
        <v>331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customFormat="false" ht="15" hidden="false" customHeight="false" outlineLevel="0" collapsed="false">
      <c r="A32" s="7" t="s">
        <v>322</v>
      </c>
      <c r="B32" s="46" t="n">
        <f aca="false">2027+COUNTIF('Fleet Plan'!$C$9:$L$9,"&lt;3")</f>
        <v>2033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7" t="s">
        <v>323</v>
      </c>
      <c r="B33" s="33" t="n">
        <f aca="false">IF($B$32&gt;2036,0,Assumptions!$F$7*(1+Assumptions!$F$8)^($B$32-2027))</f>
        <v>13500000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7" t="s">
        <v>305</v>
      </c>
      <c r="B34" s="33" t="n">
        <f aca="false">$B$33*Assumptions!$F$16</f>
        <v>10800000</v>
      </c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7" t="s">
        <v>324</v>
      </c>
      <c r="B35" s="33" t="n">
        <f aca="false">IF($B$34=0,0,PMT(Assumptions!$F$17,Assumptions!$F$18,-$B$34))</f>
        <v>1204574.22936194</v>
      </c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7" t="s">
        <v>325</v>
      </c>
      <c r="B36" s="2"/>
      <c r="C36" s="35" t="n">
        <f aca="false">IF(C$5=$B$32,$B$34,IF(C$5&gt;$B$32,0,0))</f>
        <v>0</v>
      </c>
      <c r="D36" s="35" t="n">
        <f aca="false">IF(D$5=$B$32,$B$34,IF(D$5&gt;$B$32,C40,0))</f>
        <v>0</v>
      </c>
      <c r="E36" s="35" t="n">
        <f aca="false">IF(E$5=$B$32,$B$34,IF(E$5&gt;$B$32,D40,0))</f>
        <v>0</v>
      </c>
      <c r="F36" s="35" t="n">
        <f aca="false">IF(F$5=$B$32,$B$34,IF(F$5&gt;$B$32,E40,0))</f>
        <v>0</v>
      </c>
      <c r="G36" s="35" t="n">
        <f aca="false">IF(G$5=$B$32,$B$34,IF(G$5&gt;$B$32,F40,0))</f>
        <v>0</v>
      </c>
      <c r="H36" s="35" t="n">
        <f aca="false">IF(H$5=$B$32,$B$34,IF(H$5&gt;$B$32,G40,0))</f>
        <v>0</v>
      </c>
      <c r="I36" s="35" t="n">
        <f aca="false">IF(I$5=$B$32,$B$34,IF(I$5&gt;$B$32,H40,0))</f>
        <v>10800000</v>
      </c>
      <c r="J36" s="35" t="n">
        <f aca="false">IF(J$5=$B$32,$B$34,IF(J$5&gt;$B$32,I40,0))</f>
        <v>10378425.7706381</v>
      </c>
      <c r="K36" s="35" t="n">
        <f aca="false">IF(K$5=$B$32,$B$34,IF(K$5&gt;$B$32,J40,0))</f>
        <v>9926287.40964739</v>
      </c>
      <c r="L36" s="35" t="n">
        <f aca="false">IF(L$5=$B$32,$B$34,IF(L$5&gt;$B$32,K40,0))</f>
        <v>9441369.01748489</v>
      </c>
    </row>
    <row r="37" customFormat="false" ht="15" hidden="false" customHeight="false" outlineLevel="0" collapsed="false">
      <c r="A37" s="7" t="s">
        <v>236</v>
      </c>
      <c r="B37" s="2"/>
      <c r="C37" s="33" t="n">
        <f aca="false">C36*Assumptions!$F$17</f>
        <v>0</v>
      </c>
      <c r="D37" s="33" t="n">
        <f aca="false">D36*Assumptions!$F$17</f>
        <v>0</v>
      </c>
      <c r="E37" s="33" t="n">
        <f aca="false">E36*Assumptions!$F$17</f>
        <v>0</v>
      </c>
      <c r="F37" s="33" t="n">
        <f aca="false">F36*Assumptions!$F$17</f>
        <v>0</v>
      </c>
      <c r="G37" s="33" t="n">
        <f aca="false">G36*Assumptions!$F$17</f>
        <v>0</v>
      </c>
      <c r="H37" s="33" t="n">
        <f aca="false">H36*Assumptions!$F$17</f>
        <v>0</v>
      </c>
      <c r="I37" s="33" t="n">
        <f aca="false">I36*Assumptions!$F$17</f>
        <v>783000</v>
      </c>
      <c r="J37" s="33" t="n">
        <f aca="false">J36*Assumptions!$F$17</f>
        <v>752435.86837126</v>
      </c>
      <c r="K37" s="33" t="n">
        <f aca="false">K36*Assumptions!$F$17</f>
        <v>719655.837199436</v>
      </c>
      <c r="L37" s="33" t="n">
        <f aca="false">L36*Assumptions!$F$17</f>
        <v>684499.253767654</v>
      </c>
    </row>
    <row r="38" customFormat="false" ht="15" hidden="false" customHeight="false" outlineLevel="0" collapsed="false">
      <c r="A38" s="7" t="s">
        <v>326</v>
      </c>
      <c r="B38" s="2"/>
      <c r="C38" s="35" t="n">
        <f aca="false">IF(C36&gt;0,MIN($B$35,C36+C37),0)</f>
        <v>0</v>
      </c>
      <c r="D38" s="35" t="n">
        <f aca="false">IF(D36&gt;0,MIN($B$35,D36+D37),0)</f>
        <v>0</v>
      </c>
      <c r="E38" s="35" t="n">
        <f aca="false">IF(E36&gt;0,MIN($B$35,E36+E37),0)</f>
        <v>0</v>
      </c>
      <c r="F38" s="35" t="n">
        <f aca="false">IF(F36&gt;0,MIN($B$35,F36+F37),0)</f>
        <v>0</v>
      </c>
      <c r="G38" s="35" t="n">
        <f aca="false">IF(G36&gt;0,MIN($B$35,G36+G37),0)</f>
        <v>0</v>
      </c>
      <c r="H38" s="35" t="n">
        <f aca="false">IF(H36&gt;0,MIN($B$35,H36+H37),0)</f>
        <v>0</v>
      </c>
      <c r="I38" s="35" t="n">
        <f aca="false">IF(I36&gt;0,MIN($B$35,I36+I37),0)</f>
        <v>1204574.22936194</v>
      </c>
      <c r="J38" s="35" t="n">
        <f aca="false">IF(J36&gt;0,MIN($B$35,J36+J37),0)</f>
        <v>1204574.22936194</v>
      </c>
      <c r="K38" s="35" t="n">
        <f aca="false">IF(K36&gt;0,MIN($B$35,K36+K37),0)</f>
        <v>1204574.22936194</v>
      </c>
      <c r="L38" s="35" t="n">
        <f aca="false">IF(L36&gt;0,MIN($B$35,L36+L37),0)</f>
        <v>1204574.22936194</v>
      </c>
    </row>
    <row r="39" customFormat="false" ht="15" hidden="false" customHeight="false" outlineLevel="0" collapsed="false">
      <c r="A39" s="7" t="s">
        <v>327</v>
      </c>
      <c r="B39" s="2"/>
      <c r="C39" s="35" t="n">
        <f aca="false">C38-C37</f>
        <v>0</v>
      </c>
      <c r="D39" s="35" t="n">
        <f aca="false">D38-D37</f>
        <v>0</v>
      </c>
      <c r="E39" s="35" t="n">
        <f aca="false">E38-E37</f>
        <v>0</v>
      </c>
      <c r="F39" s="35" t="n">
        <f aca="false">F38-F37</f>
        <v>0</v>
      </c>
      <c r="G39" s="35" t="n">
        <f aca="false">G38-G37</f>
        <v>0</v>
      </c>
      <c r="H39" s="35" t="n">
        <f aca="false">H38-H37</f>
        <v>0</v>
      </c>
      <c r="I39" s="35" t="n">
        <f aca="false">I38-I37</f>
        <v>421574.229361937</v>
      </c>
      <c r="J39" s="35" t="n">
        <f aca="false">J38-J37</f>
        <v>452138.360990678</v>
      </c>
      <c r="K39" s="35" t="n">
        <f aca="false">K38-K37</f>
        <v>484918.392162502</v>
      </c>
      <c r="L39" s="35" t="n">
        <f aca="false">L38-L37</f>
        <v>520074.975594283</v>
      </c>
    </row>
    <row r="40" customFormat="false" ht="15" hidden="false" customHeight="false" outlineLevel="0" collapsed="false">
      <c r="A40" s="7" t="s">
        <v>328</v>
      </c>
      <c r="B40" s="2"/>
      <c r="C40" s="35" t="n">
        <f aca="false">C36-C39</f>
        <v>0</v>
      </c>
      <c r="D40" s="35" t="n">
        <f aca="false">D36-D39</f>
        <v>0</v>
      </c>
      <c r="E40" s="35" t="n">
        <f aca="false">E36-E39</f>
        <v>0</v>
      </c>
      <c r="F40" s="35" t="n">
        <f aca="false">F36-F39</f>
        <v>0</v>
      </c>
      <c r="G40" s="35" t="n">
        <f aca="false">G36-G39</f>
        <v>0</v>
      </c>
      <c r="H40" s="35" t="n">
        <f aca="false">H36-H39</f>
        <v>0</v>
      </c>
      <c r="I40" s="35" t="n">
        <f aca="false">I36-I39</f>
        <v>10378425.7706381</v>
      </c>
      <c r="J40" s="35" t="n">
        <f aca="false">J36-J39</f>
        <v>9926287.40964739</v>
      </c>
      <c r="K40" s="35" t="n">
        <f aca="false">K36-K39</f>
        <v>9441369.01748489</v>
      </c>
      <c r="L40" s="35" t="n">
        <f aca="false">L36-L39</f>
        <v>8921294.0418906</v>
      </c>
    </row>
    <row r="41" customFormat="false" ht="15" hidden="false" customHeight="false" outlineLevel="0" collapsed="false">
      <c r="A41" s="7" t="s">
        <v>329</v>
      </c>
      <c r="B41" s="2"/>
      <c r="C41" s="33" t="n">
        <f aca="false">IF(C$5&gt;=$B$32,$B$33*(1-Assumptions!$F$63)^(C$5-$B$32+1),0)</f>
        <v>0</v>
      </c>
      <c r="D41" s="33" t="n">
        <f aca="false">IF(D$5&gt;=$B$32,$B$33*(1-Assumptions!$F$63)^(D$5-$B$32+1),0)</f>
        <v>0</v>
      </c>
      <c r="E41" s="33" t="n">
        <f aca="false">IF(E$5&gt;=$B$32,$B$33*(1-Assumptions!$F$63)^(E$5-$B$32+1),0)</f>
        <v>0</v>
      </c>
      <c r="F41" s="33" t="n">
        <f aca="false">IF(F$5&gt;=$B$32,$B$33*(1-Assumptions!$F$63)^(F$5-$B$32+1),0)</f>
        <v>0</v>
      </c>
      <c r="G41" s="33" t="n">
        <f aca="false">IF(G$5&gt;=$B$32,$B$33*(1-Assumptions!$F$63)^(G$5-$B$32+1),0)</f>
        <v>0</v>
      </c>
      <c r="H41" s="33" t="n">
        <f aca="false">IF(H$5&gt;=$B$32,$B$33*(1-Assumptions!$F$63)^(H$5-$B$32+1),0)</f>
        <v>0</v>
      </c>
      <c r="I41" s="33" t="n">
        <f aca="false">IF(I$5&gt;=$B$32,$B$33*(1-Assumptions!$F$63)^(I$5-$B$32+1),0)</f>
        <v>12825000</v>
      </c>
      <c r="J41" s="33" t="n">
        <f aca="false">IF(J$5&gt;=$B$32,$B$33*(1-Assumptions!$F$63)^(J$5-$B$32+1),0)</f>
        <v>12183750</v>
      </c>
      <c r="K41" s="33" t="n">
        <f aca="false">IF(K$5&gt;=$B$32,$B$33*(1-Assumptions!$F$63)^(K$5-$B$32+1),0)</f>
        <v>11574562.5</v>
      </c>
      <c r="L41" s="33" t="n">
        <f aca="false">IF(L$5&gt;=$B$32,$B$33*(1-Assumptions!$F$63)^(L$5-$B$32+1),0)</f>
        <v>10995834.375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16" t="s">
        <v>332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customFormat="false" ht="15" hidden="false" customHeight="false" outlineLevel="0" collapsed="false">
      <c r="A44" s="7" t="s">
        <v>322</v>
      </c>
      <c r="B44" s="46" t="n">
        <f aca="false">2027+COUNTIF('Fleet Plan'!$C$9:$L$9,"&lt;4")</f>
        <v>2037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7" t="s">
        <v>323</v>
      </c>
      <c r="B45" s="33" t="n">
        <f aca="false">IF($B$44&gt;2036,0,Assumptions!$F$7*(1+Assumptions!$F$8)^($B$44-2027))</f>
        <v>0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7" t="s">
        <v>305</v>
      </c>
      <c r="B46" s="33" t="n">
        <f aca="false">$B$45*Assumptions!$F$16</f>
        <v>0</v>
      </c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7" t="s">
        <v>324</v>
      </c>
      <c r="B47" s="33" t="n">
        <f aca="false">IF($B$46=0,0,PMT(Assumptions!$F$17,Assumptions!$F$18,-$B$46))</f>
        <v>0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7" t="s">
        <v>325</v>
      </c>
      <c r="B48" s="2"/>
      <c r="C48" s="35" t="n">
        <f aca="false">IF(C$5=$B$44,$B$46,IF(C$5&gt;$B$44,0,0))</f>
        <v>0</v>
      </c>
      <c r="D48" s="35" t="n">
        <f aca="false">IF(D$5=$B$44,$B$46,IF(D$5&gt;$B$44,C52,0))</f>
        <v>0</v>
      </c>
      <c r="E48" s="35" t="n">
        <f aca="false">IF(E$5=$B$44,$B$46,IF(E$5&gt;$B$44,D52,0))</f>
        <v>0</v>
      </c>
      <c r="F48" s="35" t="n">
        <f aca="false">IF(F$5=$B$44,$B$46,IF(F$5&gt;$B$44,E52,0))</f>
        <v>0</v>
      </c>
      <c r="G48" s="35" t="n">
        <f aca="false">IF(G$5=$B$44,$B$46,IF(G$5&gt;$B$44,F52,0))</f>
        <v>0</v>
      </c>
      <c r="H48" s="35" t="n">
        <f aca="false">IF(H$5=$B$44,$B$46,IF(H$5&gt;$B$44,G52,0))</f>
        <v>0</v>
      </c>
      <c r="I48" s="35" t="n">
        <f aca="false">IF(I$5=$B$44,$B$46,IF(I$5&gt;$B$44,H52,0))</f>
        <v>0</v>
      </c>
      <c r="J48" s="35" t="n">
        <f aca="false">IF(J$5=$B$44,$B$46,IF(J$5&gt;$B$44,I52,0))</f>
        <v>0</v>
      </c>
      <c r="K48" s="35" t="n">
        <f aca="false">IF(K$5=$B$44,$B$46,IF(K$5&gt;$B$44,J52,0))</f>
        <v>0</v>
      </c>
      <c r="L48" s="35" t="n">
        <f aca="false">IF(L$5=$B$44,$B$46,IF(L$5&gt;$B$44,K52,0))</f>
        <v>0</v>
      </c>
    </row>
    <row r="49" customFormat="false" ht="15" hidden="false" customHeight="false" outlineLevel="0" collapsed="false">
      <c r="A49" s="7" t="s">
        <v>236</v>
      </c>
      <c r="B49" s="2"/>
      <c r="C49" s="33" t="n">
        <f aca="false">C48*Assumptions!$F$17</f>
        <v>0</v>
      </c>
      <c r="D49" s="33" t="n">
        <f aca="false">D48*Assumptions!$F$17</f>
        <v>0</v>
      </c>
      <c r="E49" s="33" t="n">
        <f aca="false">E48*Assumptions!$F$17</f>
        <v>0</v>
      </c>
      <c r="F49" s="33" t="n">
        <f aca="false">F48*Assumptions!$F$17</f>
        <v>0</v>
      </c>
      <c r="G49" s="33" t="n">
        <f aca="false">G48*Assumptions!$F$17</f>
        <v>0</v>
      </c>
      <c r="H49" s="33" t="n">
        <f aca="false">H48*Assumptions!$F$17</f>
        <v>0</v>
      </c>
      <c r="I49" s="33" t="n">
        <f aca="false">I48*Assumptions!$F$17</f>
        <v>0</v>
      </c>
      <c r="J49" s="33" t="n">
        <f aca="false">J48*Assumptions!$F$17</f>
        <v>0</v>
      </c>
      <c r="K49" s="33" t="n">
        <f aca="false">K48*Assumptions!$F$17</f>
        <v>0</v>
      </c>
      <c r="L49" s="33" t="n">
        <f aca="false">L48*Assumptions!$F$17</f>
        <v>0</v>
      </c>
    </row>
    <row r="50" customFormat="false" ht="15" hidden="false" customHeight="false" outlineLevel="0" collapsed="false">
      <c r="A50" s="7" t="s">
        <v>326</v>
      </c>
      <c r="B50" s="2"/>
      <c r="C50" s="35" t="n">
        <f aca="false">IF(C48&gt;0,MIN($B$47,C48+C49),0)</f>
        <v>0</v>
      </c>
      <c r="D50" s="35" t="n">
        <f aca="false">IF(D48&gt;0,MIN($B$47,D48+D49),0)</f>
        <v>0</v>
      </c>
      <c r="E50" s="35" t="n">
        <f aca="false">IF(E48&gt;0,MIN($B$47,E48+E49),0)</f>
        <v>0</v>
      </c>
      <c r="F50" s="35" t="n">
        <f aca="false">IF(F48&gt;0,MIN($B$47,F48+F49),0)</f>
        <v>0</v>
      </c>
      <c r="G50" s="35" t="n">
        <f aca="false">IF(G48&gt;0,MIN($B$47,G48+G49),0)</f>
        <v>0</v>
      </c>
      <c r="H50" s="35" t="n">
        <f aca="false">IF(H48&gt;0,MIN($B$47,H48+H49),0)</f>
        <v>0</v>
      </c>
      <c r="I50" s="35" t="n">
        <f aca="false">IF(I48&gt;0,MIN($B$47,I48+I49),0)</f>
        <v>0</v>
      </c>
      <c r="J50" s="35" t="n">
        <f aca="false">IF(J48&gt;0,MIN($B$47,J48+J49),0)</f>
        <v>0</v>
      </c>
      <c r="K50" s="35" t="n">
        <f aca="false">IF(K48&gt;0,MIN($B$47,K48+K49),0)</f>
        <v>0</v>
      </c>
      <c r="L50" s="35" t="n">
        <f aca="false">IF(L48&gt;0,MIN($B$47,L48+L49),0)</f>
        <v>0</v>
      </c>
    </row>
    <row r="51" customFormat="false" ht="15" hidden="false" customHeight="false" outlineLevel="0" collapsed="false">
      <c r="A51" s="7" t="s">
        <v>327</v>
      </c>
      <c r="B51" s="2"/>
      <c r="C51" s="35" t="n">
        <f aca="false">C50-C49</f>
        <v>0</v>
      </c>
      <c r="D51" s="35" t="n">
        <f aca="false">D50-D49</f>
        <v>0</v>
      </c>
      <c r="E51" s="35" t="n">
        <f aca="false">E50-E49</f>
        <v>0</v>
      </c>
      <c r="F51" s="35" t="n">
        <f aca="false">F50-F49</f>
        <v>0</v>
      </c>
      <c r="G51" s="35" t="n">
        <f aca="false">G50-G49</f>
        <v>0</v>
      </c>
      <c r="H51" s="35" t="n">
        <f aca="false">H50-H49</f>
        <v>0</v>
      </c>
      <c r="I51" s="35" t="n">
        <f aca="false">I50-I49</f>
        <v>0</v>
      </c>
      <c r="J51" s="35" t="n">
        <f aca="false">J50-J49</f>
        <v>0</v>
      </c>
      <c r="K51" s="35" t="n">
        <f aca="false">K50-K49</f>
        <v>0</v>
      </c>
      <c r="L51" s="35" t="n">
        <f aca="false">L50-L49</f>
        <v>0</v>
      </c>
    </row>
    <row r="52" customFormat="false" ht="15" hidden="false" customHeight="false" outlineLevel="0" collapsed="false">
      <c r="A52" s="7" t="s">
        <v>328</v>
      </c>
      <c r="B52" s="2"/>
      <c r="C52" s="35" t="n">
        <f aca="false">C48-C51</f>
        <v>0</v>
      </c>
      <c r="D52" s="35" t="n">
        <f aca="false">D48-D51</f>
        <v>0</v>
      </c>
      <c r="E52" s="35" t="n">
        <f aca="false">E48-E51</f>
        <v>0</v>
      </c>
      <c r="F52" s="35" t="n">
        <f aca="false">F48-F51</f>
        <v>0</v>
      </c>
      <c r="G52" s="35" t="n">
        <f aca="false">G48-G51</f>
        <v>0</v>
      </c>
      <c r="H52" s="35" t="n">
        <f aca="false">H48-H51</f>
        <v>0</v>
      </c>
      <c r="I52" s="35" t="n">
        <f aca="false">I48-I51</f>
        <v>0</v>
      </c>
      <c r="J52" s="35" t="n">
        <f aca="false">J48-J51</f>
        <v>0</v>
      </c>
      <c r="K52" s="35" t="n">
        <f aca="false">K48-K51</f>
        <v>0</v>
      </c>
      <c r="L52" s="35" t="n">
        <f aca="false">L48-L51</f>
        <v>0</v>
      </c>
    </row>
    <row r="53" customFormat="false" ht="15" hidden="false" customHeight="false" outlineLevel="0" collapsed="false">
      <c r="A53" s="7" t="s">
        <v>329</v>
      </c>
      <c r="B53" s="2"/>
      <c r="C53" s="33" t="n">
        <f aca="false">IF(C$5&gt;=$B$44,$B$45*(1-Assumptions!$F$63)^(C$5-$B$44+1),0)</f>
        <v>0</v>
      </c>
      <c r="D53" s="33" t="n">
        <f aca="false">IF(D$5&gt;=$B$44,$B$45*(1-Assumptions!$F$63)^(D$5-$B$44+1),0)</f>
        <v>0</v>
      </c>
      <c r="E53" s="33" t="n">
        <f aca="false">IF(E$5&gt;=$B$44,$B$45*(1-Assumptions!$F$63)^(E$5-$B$44+1),0)</f>
        <v>0</v>
      </c>
      <c r="F53" s="33" t="n">
        <f aca="false">IF(F$5&gt;=$B$44,$B$45*(1-Assumptions!$F$63)^(F$5-$B$44+1),0)</f>
        <v>0</v>
      </c>
      <c r="G53" s="33" t="n">
        <f aca="false">IF(G$5&gt;=$B$44,$B$45*(1-Assumptions!$F$63)^(G$5-$B$44+1),0)</f>
        <v>0</v>
      </c>
      <c r="H53" s="33" t="n">
        <f aca="false">IF(H$5&gt;=$B$44,$B$45*(1-Assumptions!$F$63)^(H$5-$B$44+1),0)</f>
        <v>0</v>
      </c>
      <c r="I53" s="33" t="n">
        <f aca="false">IF(I$5&gt;=$B$44,$B$45*(1-Assumptions!$F$63)^(I$5-$B$44+1),0)</f>
        <v>0</v>
      </c>
      <c r="J53" s="33" t="n">
        <f aca="false">IF(J$5&gt;=$B$44,$B$45*(1-Assumptions!$F$63)^(J$5-$B$44+1),0)</f>
        <v>0</v>
      </c>
      <c r="K53" s="33" t="n">
        <f aca="false">IF(K$5&gt;=$B$44,$B$45*(1-Assumptions!$F$63)^(K$5-$B$44+1),0)</f>
        <v>0</v>
      </c>
      <c r="L53" s="33" t="n">
        <f aca="false">IF(L$5&gt;=$B$44,$B$45*(1-Assumptions!$F$63)^(L$5-$B$44+1),0)</f>
        <v>0</v>
      </c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16" t="s">
        <v>333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customFormat="false" ht="15" hidden="false" customHeight="false" outlineLevel="0" collapsed="false">
      <c r="A56" s="7" t="s">
        <v>322</v>
      </c>
      <c r="B56" s="46" t="n">
        <f aca="false">2027+COUNTIF('Fleet Plan'!$C$9:$L$9,"&lt;5")</f>
        <v>2037</v>
      </c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7" t="s">
        <v>323</v>
      </c>
      <c r="B57" s="33" t="n">
        <f aca="false">IF($B$56&gt;2036,0,Assumptions!$F$7*(1+Assumptions!$F$8)^($B$56-2027))</f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7" t="s">
        <v>305</v>
      </c>
      <c r="B58" s="33" t="n">
        <f aca="false">$B$57*Assumptions!$F$16</f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7" t="s">
        <v>324</v>
      </c>
      <c r="B59" s="33" t="n">
        <f aca="false">IF($B$58=0,0,PMT(Assumptions!$F$17,Assumptions!$F$18,-$B$58))</f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5" hidden="false" customHeight="false" outlineLevel="0" collapsed="false">
      <c r="A60" s="7" t="s">
        <v>325</v>
      </c>
      <c r="B60" s="2"/>
      <c r="C60" s="35" t="n">
        <f aca="false">IF(C$5=$B$56,$B$58,IF(C$5&gt;$B$56,0,0))</f>
        <v>0</v>
      </c>
      <c r="D60" s="35" t="n">
        <f aca="false">IF(D$5=$B$56,$B$58,IF(D$5&gt;$B$56,C64,0))</f>
        <v>0</v>
      </c>
      <c r="E60" s="35" t="n">
        <f aca="false">IF(E$5=$B$56,$B$58,IF(E$5&gt;$B$56,D64,0))</f>
        <v>0</v>
      </c>
      <c r="F60" s="35" t="n">
        <f aca="false">IF(F$5=$B$56,$B$58,IF(F$5&gt;$B$56,E64,0))</f>
        <v>0</v>
      </c>
      <c r="G60" s="35" t="n">
        <f aca="false">IF(G$5=$B$56,$B$58,IF(G$5&gt;$B$56,F64,0))</f>
        <v>0</v>
      </c>
      <c r="H60" s="35" t="n">
        <f aca="false">IF(H$5=$B$56,$B$58,IF(H$5&gt;$B$56,G64,0))</f>
        <v>0</v>
      </c>
      <c r="I60" s="35" t="n">
        <f aca="false">IF(I$5=$B$56,$B$58,IF(I$5&gt;$B$56,H64,0))</f>
        <v>0</v>
      </c>
      <c r="J60" s="35" t="n">
        <f aca="false">IF(J$5=$B$56,$B$58,IF(J$5&gt;$B$56,I64,0))</f>
        <v>0</v>
      </c>
      <c r="K60" s="35" t="n">
        <f aca="false">IF(K$5=$B$56,$B$58,IF(K$5&gt;$B$56,J64,0))</f>
        <v>0</v>
      </c>
      <c r="L60" s="35" t="n">
        <f aca="false">IF(L$5=$B$56,$B$58,IF(L$5&gt;$B$56,K64,0))</f>
        <v>0</v>
      </c>
    </row>
    <row r="61" customFormat="false" ht="15" hidden="false" customHeight="false" outlineLevel="0" collapsed="false">
      <c r="A61" s="7" t="s">
        <v>236</v>
      </c>
      <c r="B61" s="2"/>
      <c r="C61" s="33" t="n">
        <f aca="false">C60*Assumptions!$F$17</f>
        <v>0</v>
      </c>
      <c r="D61" s="33" t="n">
        <f aca="false">D60*Assumptions!$F$17</f>
        <v>0</v>
      </c>
      <c r="E61" s="33" t="n">
        <f aca="false">E60*Assumptions!$F$17</f>
        <v>0</v>
      </c>
      <c r="F61" s="33" t="n">
        <f aca="false">F60*Assumptions!$F$17</f>
        <v>0</v>
      </c>
      <c r="G61" s="33" t="n">
        <f aca="false">G60*Assumptions!$F$17</f>
        <v>0</v>
      </c>
      <c r="H61" s="33" t="n">
        <f aca="false">H60*Assumptions!$F$17</f>
        <v>0</v>
      </c>
      <c r="I61" s="33" t="n">
        <f aca="false">I60*Assumptions!$F$17</f>
        <v>0</v>
      </c>
      <c r="J61" s="33" t="n">
        <f aca="false">J60*Assumptions!$F$17</f>
        <v>0</v>
      </c>
      <c r="K61" s="33" t="n">
        <f aca="false">K60*Assumptions!$F$17</f>
        <v>0</v>
      </c>
      <c r="L61" s="33" t="n">
        <f aca="false">L60*Assumptions!$F$17</f>
        <v>0</v>
      </c>
    </row>
    <row r="62" customFormat="false" ht="15" hidden="false" customHeight="false" outlineLevel="0" collapsed="false">
      <c r="A62" s="7" t="s">
        <v>326</v>
      </c>
      <c r="B62" s="2"/>
      <c r="C62" s="35" t="n">
        <f aca="false">IF(C60&gt;0,MIN($B$59,C60+C61),0)</f>
        <v>0</v>
      </c>
      <c r="D62" s="35" t="n">
        <f aca="false">IF(D60&gt;0,MIN($B$59,D60+D61),0)</f>
        <v>0</v>
      </c>
      <c r="E62" s="35" t="n">
        <f aca="false">IF(E60&gt;0,MIN($B$59,E60+E61),0)</f>
        <v>0</v>
      </c>
      <c r="F62" s="35" t="n">
        <f aca="false">IF(F60&gt;0,MIN($B$59,F60+F61),0)</f>
        <v>0</v>
      </c>
      <c r="G62" s="35" t="n">
        <f aca="false">IF(G60&gt;0,MIN($B$59,G60+G61),0)</f>
        <v>0</v>
      </c>
      <c r="H62" s="35" t="n">
        <f aca="false">IF(H60&gt;0,MIN($B$59,H60+H61),0)</f>
        <v>0</v>
      </c>
      <c r="I62" s="35" t="n">
        <f aca="false">IF(I60&gt;0,MIN($B$59,I60+I61),0)</f>
        <v>0</v>
      </c>
      <c r="J62" s="35" t="n">
        <f aca="false">IF(J60&gt;0,MIN($B$59,J60+J61),0)</f>
        <v>0</v>
      </c>
      <c r="K62" s="35" t="n">
        <f aca="false">IF(K60&gt;0,MIN($B$59,K60+K61),0)</f>
        <v>0</v>
      </c>
      <c r="L62" s="35" t="n">
        <f aca="false">IF(L60&gt;0,MIN($B$59,L60+L61),0)</f>
        <v>0</v>
      </c>
    </row>
    <row r="63" customFormat="false" ht="15" hidden="false" customHeight="false" outlineLevel="0" collapsed="false">
      <c r="A63" s="7" t="s">
        <v>327</v>
      </c>
      <c r="B63" s="2"/>
      <c r="C63" s="35" t="n">
        <f aca="false">C62-C61</f>
        <v>0</v>
      </c>
      <c r="D63" s="35" t="n">
        <f aca="false">D62-D61</f>
        <v>0</v>
      </c>
      <c r="E63" s="35" t="n">
        <f aca="false">E62-E61</f>
        <v>0</v>
      </c>
      <c r="F63" s="35" t="n">
        <f aca="false">F62-F61</f>
        <v>0</v>
      </c>
      <c r="G63" s="35" t="n">
        <f aca="false">G62-G61</f>
        <v>0</v>
      </c>
      <c r="H63" s="35" t="n">
        <f aca="false">H62-H61</f>
        <v>0</v>
      </c>
      <c r="I63" s="35" t="n">
        <f aca="false">I62-I61</f>
        <v>0</v>
      </c>
      <c r="J63" s="35" t="n">
        <f aca="false">J62-J61</f>
        <v>0</v>
      </c>
      <c r="K63" s="35" t="n">
        <f aca="false">K62-K61</f>
        <v>0</v>
      </c>
      <c r="L63" s="35" t="n">
        <f aca="false">L62-L61</f>
        <v>0</v>
      </c>
    </row>
    <row r="64" customFormat="false" ht="15" hidden="false" customHeight="false" outlineLevel="0" collapsed="false">
      <c r="A64" s="7" t="s">
        <v>328</v>
      </c>
      <c r="B64" s="2"/>
      <c r="C64" s="35" t="n">
        <f aca="false">C60-C63</f>
        <v>0</v>
      </c>
      <c r="D64" s="35" t="n">
        <f aca="false">D60-D63</f>
        <v>0</v>
      </c>
      <c r="E64" s="35" t="n">
        <f aca="false">E60-E63</f>
        <v>0</v>
      </c>
      <c r="F64" s="35" t="n">
        <f aca="false">F60-F63</f>
        <v>0</v>
      </c>
      <c r="G64" s="35" t="n">
        <f aca="false">G60-G63</f>
        <v>0</v>
      </c>
      <c r="H64" s="35" t="n">
        <f aca="false">H60-H63</f>
        <v>0</v>
      </c>
      <c r="I64" s="35" t="n">
        <f aca="false">I60-I63</f>
        <v>0</v>
      </c>
      <c r="J64" s="35" t="n">
        <f aca="false">J60-J63</f>
        <v>0</v>
      </c>
      <c r="K64" s="35" t="n">
        <f aca="false">K60-K63</f>
        <v>0</v>
      </c>
      <c r="L64" s="35" t="n">
        <f aca="false">L60-L63</f>
        <v>0</v>
      </c>
    </row>
    <row r="65" customFormat="false" ht="15" hidden="false" customHeight="false" outlineLevel="0" collapsed="false">
      <c r="A65" s="7" t="s">
        <v>329</v>
      </c>
      <c r="B65" s="2"/>
      <c r="C65" s="33" t="n">
        <f aca="false">IF(C$5&gt;=$B$56,$B$57*(1-Assumptions!$F$63)^(C$5-$B$56+1),0)</f>
        <v>0</v>
      </c>
      <c r="D65" s="33" t="n">
        <f aca="false">IF(D$5&gt;=$B$56,$B$57*(1-Assumptions!$F$63)^(D$5-$B$56+1),0)</f>
        <v>0</v>
      </c>
      <c r="E65" s="33" t="n">
        <f aca="false">IF(E$5&gt;=$B$56,$B$57*(1-Assumptions!$F$63)^(E$5-$B$56+1),0)</f>
        <v>0</v>
      </c>
      <c r="F65" s="33" t="n">
        <f aca="false">IF(F$5&gt;=$B$56,$B$57*(1-Assumptions!$F$63)^(F$5-$B$56+1),0)</f>
        <v>0</v>
      </c>
      <c r="G65" s="33" t="n">
        <f aca="false">IF(G$5&gt;=$B$56,$B$57*(1-Assumptions!$F$63)^(G$5-$B$56+1),0)</f>
        <v>0</v>
      </c>
      <c r="H65" s="33" t="n">
        <f aca="false">IF(H$5&gt;=$B$56,$B$57*(1-Assumptions!$F$63)^(H$5-$B$56+1),0)</f>
        <v>0</v>
      </c>
      <c r="I65" s="33" t="n">
        <f aca="false">IF(I$5&gt;=$B$56,$B$57*(1-Assumptions!$F$63)^(I$5-$B$56+1),0)</f>
        <v>0</v>
      </c>
      <c r="J65" s="33" t="n">
        <f aca="false">IF(J$5&gt;=$B$56,$B$57*(1-Assumptions!$F$63)^(J$5-$B$56+1),0)</f>
        <v>0</v>
      </c>
      <c r="K65" s="33" t="n">
        <f aca="false">IF(K$5&gt;=$B$56,$B$57*(1-Assumptions!$F$63)^(K$5-$B$56+1),0)</f>
        <v>0</v>
      </c>
      <c r="L65" s="33" t="n">
        <f aca="false">IF(L$5&gt;=$B$56,$B$57*(1-Assumptions!$F$63)^(L$5-$B$56+1),0)</f>
        <v>0</v>
      </c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16" t="s">
        <v>334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customFormat="false" ht="15" hidden="false" customHeight="false" outlineLevel="0" collapsed="false">
      <c r="A68" s="7" t="s">
        <v>322</v>
      </c>
      <c r="B68" s="46" t="n">
        <f aca="false">2027+COUNTIF('Fleet Plan'!$C$9:$L$9,"&lt;6")</f>
        <v>2037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7" t="s">
        <v>323</v>
      </c>
      <c r="B69" s="33" t="n">
        <f aca="false">IF($B$68&gt;2036,0,Assumptions!$F$7*(1+Assumptions!$F$8)^($B$68-2027))</f>
        <v>0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7" t="s">
        <v>305</v>
      </c>
      <c r="B70" s="33" t="n">
        <f aca="false">$B$69*Assumptions!$F$16</f>
        <v>0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7" t="s">
        <v>324</v>
      </c>
      <c r="B71" s="33" t="n">
        <f aca="false">IF($B$70=0,0,PMT(Assumptions!$F$17,Assumptions!$F$18,-$B$70))</f>
        <v>0</v>
      </c>
      <c r="C71" s="2"/>
      <c r="D71" s="2"/>
      <c r="E71" s="2"/>
      <c r="F71" s="2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7" t="s">
        <v>325</v>
      </c>
      <c r="B72" s="2"/>
      <c r="C72" s="35" t="n">
        <f aca="false">IF(C$5=$B$68,$B$70,IF(C$5&gt;$B$68,0,0))</f>
        <v>0</v>
      </c>
      <c r="D72" s="35" t="n">
        <f aca="false">IF(D$5=$B$68,$B$70,IF(D$5&gt;$B$68,C76,0))</f>
        <v>0</v>
      </c>
      <c r="E72" s="35" t="n">
        <f aca="false">IF(E$5=$B$68,$B$70,IF(E$5&gt;$B$68,D76,0))</f>
        <v>0</v>
      </c>
      <c r="F72" s="35" t="n">
        <f aca="false">IF(F$5=$B$68,$B$70,IF(F$5&gt;$B$68,E76,0))</f>
        <v>0</v>
      </c>
      <c r="G72" s="35" t="n">
        <f aca="false">IF(G$5=$B$68,$B$70,IF(G$5&gt;$B$68,F76,0))</f>
        <v>0</v>
      </c>
      <c r="H72" s="35" t="n">
        <f aca="false">IF(H$5=$B$68,$B$70,IF(H$5&gt;$B$68,G76,0))</f>
        <v>0</v>
      </c>
      <c r="I72" s="35" t="n">
        <f aca="false">IF(I$5=$B$68,$B$70,IF(I$5&gt;$B$68,H76,0))</f>
        <v>0</v>
      </c>
      <c r="J72" s="35" t="n">
        <f aca="false">IF(J$5=$B$68,$B$70,IF(J$5&gt;$B$68,I76,0))</f>
        <v>0</v>
      </c>
      <c r="K72" s="35" t="n">
        <f aca="false">IF(K$5=$B$68,$B$70,IF(K$5&gt;$B$68,J76,0))</f>
        <v>0</v>
      </c>
      <c r="L72" s="35" t="n">
        <f aca="false">IF(L$5=$B$68,$B$70,IF(L$5&gt;$B$68,K76,0))</f>
        <v>0</v>
      </c>
    </row>
    <row r="73" customFormat="false" ht="15" hidden="false" customHeight="false" outlineLevel="0" collapsed="false">
      <c r="A73" s="7" t="s">
        <v>236</v>
      </c>
      <c r="B73" s="2"/>
      <c r="C73" s="33" t="n">
        <f aca="false">C72*Assumptions!$F$17</f>
        <v>0</v>
      </c>
      <c r="D73" s="33" t="n">
        <f aca="false">D72*Assumptions!$F$17</f>
        <v>0</v>
      </c>
      <c r="E73" s="33" t="n">
        <f aca="false">E72*Assumptions!$F$17</f>
        <v>0</v>
      </c>
      <c r="F73" s="33" t="n">
        <f aca="false">F72*Assumptions!$F$17</f>
        <v>0</v>
      </c>
      <c r="G73" s="33" t="n">
        <f aca="false">G72*Assumptions!$F$17</f>
        <v>0</v>
      </c>
      <c r="H73" s="33" t="n">
        <f aca="false">H72*Assumptions!$F$17</f>
        <v>0</v>
      </c>
      <c r="I73" s="33" t="n">
        <f aca="false">I72*Assumptions!$F$17</f>
        <v>0</v>
      </c>
      <c r="J73" s="33" t="n">
        <f aca="false">J72*Assumptions!$F$17</f>
        <v>0</v>
      </c>
      <c r="K73" s="33" t="n">
        <f aca="false">K72*Assumptions!$F$17</f>
        <v>0</v>
      </c>
      <c r="L73" s="33" t="n">
        <f aca="false">L72*Assumptions!$F$17</f>
        <v>0</v>
      </c>
    </row>
    <row r="74" customFormat="false" ht="15" hidden="false" customHeight="false" outlineLevel="0" collapsed="false">
      <c r="A74" s="7" t="s">
        <v>326</v>
      </c>
      <c r="B74" s="2"/>
      <c r="C74" s="35" t="n">
        <f aca="false">IF(C72&gt;0,MIN($B$71,C72+C73),0)</f>
        <v>0</v>
      </c>
      <c r="D74" s="35" t="n">
        <f aca="false">IF(D72&gt;0,MIN($B$71,D72+D73),0)</f>
        <v>0</v>
      </c>
      <c r="E74" s="35" t="n">
        <f aca="false">IF(E72&gt;0,MIN($B$71,E72+E73),0)</f>
        <v>0</v>
      </c>
      <c r="F74" s="35" t="n">
        <f aca="false">IF(F72&gt;0,MIN($B$71,F72+F73),0)</f>
        <v>0</v>
      </c>
      <c r="G74" s="35" t="n">
        <f aca="false">IF(G72&gt;0,MIN($B$71,G72+G73),0)</f>
        <v>0</v>
      </c>
      <c r="H74" s="35" t="n">
        <f aca="false">IF(H72&gt;0,MIN($B$71,H72+H73),0)</f>
        <v>0</v>
      </c>
      <c r="I74" s="35" t="n">
        <f aca="false">IF(I72&gt;0,MIN($B$71,I72+I73),0)</f>
        <v>0</v>
      </c>
      <c r="J74" s="35" t="n">
        <f aca="false">IF(J72&gt;0,MIN($B$71,J72+J73),0)</f>
        <v>0</v>
      </c>
      <c r="K74" s="35" t="n">
        <f aca="false">IF(K72&gt;0,MIN($B$71,K72+K73),0)</f>
        <v>0</v>
      </c>
      <c r="L74" s="35" t="n">
        <f aca="false">IF(L72&gt;0,MIN($B$71,L72+L73),0)</f>
        <v>0</v>
      </c>
    </row>
    <row r="75" customFormat="false" ht="15" hidden="false" customHeight="false" outlineLevel="0" collapsed="false">
      <c r="A75" s="7" t="s">
        <v>327</v>
      </c>
      <c r="B75" s="2"/>
      <c r="C75" s="35" t="n">
        <f aca="false">C74-C73</f>
        <v>0</v>
      </c>
      <c r="D75" s="35" t="n">
        <f aca="false">D74-D73</f>
        <v>0</v>
      </c>
      <c r="E75" s="35" t="n">
        <f aca="false">E74-E73</f>
        <v>0</v>
      </c>
      <c r="F75" s="35" t="n">
        <f aca="false">F74-F73</f>
        <v>0</v>
      </c>
      <c r="G75" s="35" t="n">
        <f aca="false">G74-G73</f>
        <v>0</v>
      </c>
      <c r="H75" s="35" t="n">
        <f aca="false">H74-H73</f>
        <v>0</v>
      </c>
      <c r="I75" s="35" t="n">
        <f aca="false">I74-I73</f>
        <v>0</v>
      </c>
      <c r="J75" s="35" t="n">
        <f aca="false">J74-J73</f>
        <v>0</v>
      </c>
      <c r="K75" s="35" t="n">
        <f aca="false">K74-K73</f>
        <v>0</v>
      </c>
      <c r="L75" s="35" t="n">
        <f aca="false">L74-L73</f>
        <v>0</v>
      </c>
    </row>
    <row r="76" customFormat="false" ht="15" hidden="false" customHeight="false" outlineLevel="0" collapsed="false">
      <c r="A76" s="7" t="s">
        <v>328</v>
      </c>
      <c r="B76" s="2"/>
      <c r="C76" s="35" t="n">
        <f aca="false">C72-C75</f>
        <v>0</v>
      </c>
      <c r="D76" s="35" t="n">
        <f aca="false">D72-D75</f>
        <v>0</v>
      </c>
      <c r="E76" s="35" t="n">
        <f aca="false">E72-E75</f>
        <v>0</v>
      </c>
      <c r="F76" s="35" t="n">
        <f aca="false">F72-F75</f>
        <v>0</v>
      </c>
      <c r="G76" s="35" t="n">
        <f aca="false">G72-G75</f>
        <v>0</v>
      </c>
      <c r="H76" s="35" t="n">
        <f aca="false">H72-H75</f>
        <v>0</v>
      </c>
      <c r="I76" s="35" t="n">
        <f aca="false">I72-I75</f>
        <v>0</v>
      </c>
      <c r="J76" s="35" t="n">
        <f aca="false">J72-J75</f>
        <v>0</v>
      </c>
      <c r="K76" s="35" t="n">
        <f aca="false">K72-K75</f>
        <v>0</v>
      </c>
      <c r="L76" s="35" t="n">
        <f aca="false">L72-L75</f>
        <v>0</v>
      </c>
    </row>
    <row r="77" customFormat="false" ht="15" hidden="false" customHeight="false" outlineLevel="0" collapsed="false">
      <c r="A77" s="7" t="s">
        <v>329</v>
      </c>
      <c r="B77" s="2"/>
      <c r="C77" s="33" t="n">
        <f aca="false">IF(C$5&gt;=$B$68,$B$69*(1-Assumptions!$F$63)^(C$5-$B$68+1),0)</f>
        <v>0</v>
      </c>
      <c r="D77" s="33" t="n">
        <f aca="false">IF(D$5&gt;=$B$68,$B$69*(1-Assumptions!$F$63)^(D$5-$B$68+1),0)</f>
        <v>0</v>
      </c>
      <c r="E77" s="33" t="n">
        <f aca="false">IF(E$5&gt;=$B$68,$B$69*(1-Assumptions!$F$63)^(E$5-$B$68+1),0)</f>
        <v>0</v>
      </c>
      <c r="F77" s="33" t="n">
        <f aca="false">IF(F$5&gt;=$B$68,$B$69*(1-Assumptions!$F$63)^(F$5-$B$68+1),0)</f>
        <v>0</v>
      </c>
      <c r="G77" s="33" t="n">
        <f aca="false">IF(G$5&gt;=$B$68,$B$69*(1-Assumptions!$F$63)^(G$5-$B$68+1),0)</f>
        <v>0</v>
      </c>
      <c r="H77" s="33" t="n">
        <f aca="false">IF(H$5&gt;=$B$68,$B$69*(1-Assumptions!$F$63)^(H$5-$B$68+1),0)</f>
        <v>0</v>
      </c>
      <c r="I77" s="33" t="n">
        <f aca="false">IF(I$5&gt;=$B$68,$B$69*(1-Assumptions!$F$63)^(I$5-$B$68+1),0)</f>
        <v>0</v>
      </c>
      <c r="J77" s="33" t="n">
        <f aca="false">IF(J$5&gt;=$B$68,$B$69*(1-Assumptions!$F$63)^(J$5-$B$68+1),0)</f>
        <v>0</v>
      </c>
      <c r="K77" s="33" t="n">
        <f aca="false">IF(K$5&gt;=$B$68,$B$69*(1-Assumptions!$F$63)^(K$5-$B$68+1),0)</f>
        <v>0</v>
      </c>
      <c r="L77" s="33" t="n">
        <f aca="false">IF(L$5&gt;=$B$68,$B$69*(1-Assumptions!$F$63)^(L$5-$B$68+1),0)</f>
        <v>0</v>
      </c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16" t="s">
        <v>335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customFormat="false" ht="15" hidden="false" customHeight="false" outlineLevel="0" collapsed="false">
      <c r="A80" s="7" t="s">
        <v>322</v>
      </c>
      <c r="B80" s="46" t="n">
        <f aca="false">2027+COUNTIF('Fleet Plan'!$C$9:$L$9,"&lt;7")</f>
        <v>2037</v>
      </c>
      <c r="C80" s="2"/>
      <c r="D80" s="2"/>
      <c r="E80" s="2"/>
      <c r="F80" s="2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7" t="s">
        <v>323</v>
      </c>
      <c r="B81" s="33" t="n">
        <f aca="false">IF($B$80&gt;2036,0,Assumptions!$F$7*(1+Assumptions!$F$8)^($B$80-2027))</f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</row>
    <row r="82" customFormat="false" ht="15" hidden="false" customHeight="false" outlineLevel="0" collapsed="false">
      <c r="A82" s="7" t="s">
        <v>305</v>
      </c>
      <c r="B82" s="33" t="n">
        <f aca="false">$B$81*Assumptions!$F$16</f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</row>
    <row r="83" customFormat="false" ht="15" hidden="false" customHeight="false" outlineLevel="0" collapsed="false">
      <c r="A83" s="7" t="s">
        <v>324</v>
      </c>
      <c r="B83" s="33" t="n">
        <f aca="false">IF($B$82=0,0,PMT(Assumptions!$F$17,Assumptions!$F$18,-$B$82))</f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customFormat="false" ht="15" hidden="false" customHeight="false" outlineLevel="0" collapsed="false">
      <c r="A84" s="7" t="s">
        <v>325</v>
      </c>
      <c r="B84" s="2"/>
      <c r="C84" s="35" t="n">
        <f aca="false">IF(C$5=$B$80,$B$82,IF(C$5&gt;$B$80,0,0))</f>
        <v>0</v>
      </c>
      <c r="D84" s="35" t="n">
        <f aca="false">IF(D$5=$B$80,$B$82,IF(D$5&gt;$B$80,C88,0))</f>
        <v>0</v>
      </c>
      <c r="E84" s="35" t="n">
        <f aca="false">IF(E$5=$B$80,$B$82,IF(E$5&gt;$B$80,D88,0))</f>
        <v>0</v>
      </c>
      <c r="F84" s="35" t="n">
        <f aca="false">IF(F$5=$B$80,$B$82,IF(F$5&gt;$B$80,E88,0))</f>
        <v>0</v>
      </c>
      <c r="G84" s="35" t="n">
        <f aca="false">IF(G$5=$B$80,$B$82,IF(G$5&gt;$B$80,F88,0))</f>
        <v>0</v>
      </c>
      <c r="H84" s="35" t="n">
        <f aca="false">IF(H$5=$B$80,$B$82,IF(H$5&gt;$B$80,G88,0))</f>
        <v>0</v>
      </c>
      <c r="I84" s="35" t="n">
        <f aca="false">IF(I$5=$B$80,$B$82,IF(I$5&gt;$B$80,H88,0))</f>
        <v>0</v>
      </c>
      <c r="J84" s="35" t="n">
        <f aca="false">IF(J$5=$B$80,$B$82,IF(J$5&gt;$B$80,I88,0))</f>
        <v>0</v>
      </c>
      <c r="K84" s="35" t="n">
        <f aca="false">IF(K$5=$B$80,$B$82,IF(K$5&gt;$B$80,J88,0))</f>
        <v>0</v>
      </c>
      <c r="L84" s="35" t="n">
        <f aca="false">IF(L$5=$B$80,$B$82,IF(L$5&gt;$B$80,K88,0))</f>
        <v>0</v>
      </c>
    </row>
    <row r="85" customFormat="false" ht="15" hidden="false" customHeight="false" outlineLevel="0" collapsed="false">
      <c r="A85" s="7" t="s">
        <v>236</v>
      </c>
      <c r="B85" s="2"/>
      <c r="C85" s="33" t="n">
        <f aca="false">C84*Assumptions!$F$17</f>
        <v>0</v>
      </c>
      <c r="D85" s="33" t="n">
        <f aca="false">D84*Assumptions!$F$17</f>
        <v>0</v>
      </c>
      <c r="E85" s="33" t="n">
        <f aca="false">E84*Assumptions!$F$17</f>
        <v>0</v>
      </c>
      <c r="F85" s="33" t="n">
        <f aca="false">F84*Assumptions!$F$17</f>
        <v>0</v>
      </c>
      <c r="G85" s="33" t="n">
        <f aca="false">G84*Assumptions!$F$17</f>
        <v>0</v>
      </c>
      <c r="H85" s="33" t="n">
        <f aca="false">H84*Assumptions!$F$17</f>
        <v>0</v>
      </c>
      <c r="I85" s="33" t="n">
        <f aca="false">I84*Assumptions!$F$17</f>
        <v>0</v>
      </c>
      <c r="J85" s="33" t="n">
        <f aca="false">J84*Assumptions!$F$17</f>
        <v>0</v>
      </c>
      <c r="K85" s="33" t="n">
        <f aca="false">K84*Assumptions!$F$17</f>
        <v>0</v>
      </c>
      <c r="L85" s="33" t="n">
        <f aca="false">L84*Assumptions!$F$17</f>
        <v>0</v>
      </c>
    </row>
    <row r="86" customFormat="false" ht="15" hidden="false" customHeight="false" outlineLevel="0" collapsed="false">
      <c r="A86" s="7" t="s">
        <v>326</v>
      </c>
      <c r="B86" s="2"/>
      <c r="C86" s="35" t="n">
        <f aca="false">IF(C84&gt;0,MIN($B$83,C84+C85),0)</f>
        <v>0</v>
      </c>
      <c r="D86" s="35" t="n">
        <f aca="false">IF(D84&gt;0,MIN($B$83,D84+D85),0)</f>
        <v>0</v>
      </c>
      <c r="E86" s="35" t="n">
        <f aca="false">IF(E84&gt;0,MIN($B$83,E84+E85),0)</f>
        <v>0</v>
      </c>
      <c r="F86" s="35" t="n">
        <f aca="false">IF(F84&gt;0,MIN($B$83,F84+F85),0)</f>
        <v>0</v>
      </c>
      <c r="G86" s="35" t="n">
        <f aca="false">IF(G84&gt;0,MIN($B$83,G84+G85),0)</f>
        <v>0</v>
      </c>
      <c r="H86" s="35" t="n">
        <f aca="false">IF(H84&gt;0,MIN($B$83,H84+H85),0)</f>
        <v>0</v>
      </c>
      <c r="I86" s="35" t="n">
        <f aca="false">IF(I84&gt;0,MIN($B$83,I84+I85),0)</f>
        <v>0</v>
      </c>
      <c r="J86" s="35" t="n">
        <f aca="false">IF(J84&gt;0,MIN($B$83,J84+J85),0)</f>
        <v>0</v>
      </c>
      <c r="K86" s="35" t="n">
        <f aca="false">IF(K84&gt;0,MIN($B$83,K84+K85),0)</f>
        <v>0</v>
      </c>
      <c r="L86" s="35" t="n">
        <f aca="false">IF(L84&gt;0,MIN($B$83,L84+L85),0)</f>
        <v>0</v>
      </c>
    </row>
    <row r="87" customFormat="false" ht="15" hidden="false" customHeight="false" outlineLevel="0" collapsed="false">
      <c r="A87" s="7" t="s">
        <v>327</v>
      </c>
      <c r="B87" s="2"/>
      <c r="C87" s="35" t="n">
        <f aca="false">C86-C85</f>
        <v>0</v>
      </c>
      <c r="D87" s="35" t="n">
        <f aca="false">D86-D85</f>
        <v>0</v>
      </c>
      <c r="E87" s="35" t="n">
        <f aca="false">E86-E85</f>
        <v>0</v>
      </c>
      <c r="F87" s="35" t="n">
        <f aca="false">F86-F85</f>
        <v>0</v>
      </c>
      <c r="G87" s="35" t="n">
        <f aca="false">G86-G85</f>
        <v>0</v>
      </c>
      <c r="H87" s="35" t="n">
        <f aca="false">H86-H85</f>
        <v>0</v>
      </c>
      <c r="I87" s="35" t="n">
        <f aca="false">I86-I85</f>
        <v>0</v>
      </c>
      <c r="J87" s="35" t="n">
        <f aca="false">J86-J85</f>
        <v>0</v>
      </c>
      <c r="K87" s="35" t="n">
        <f aca="false">K86-K85</f>
        <v>0</v>
      </c>
      <c r="L87" s="35" t="n">
        <f aca="false">L86-L85</f>
        <v>0</v>
      </c>
    </row>
    <row r="88" customFormat="false" ht="15" hidden="false" customHeight="false" outlineLevel="0" collapsed="false">
      <c r="A88" s="7" t="s">
        <v>328</v>
      </c>
      <c r="B88" s="2"/>
      <c r="C88" s="35" t="n">
        <f aca="false">C84-C87</f>
        <v>0</v>
      </c>
      <c r="D88" s="35" t="n">
        <f aca="false">D84-D87</f>
        <v>0</v>
      </c>
      <c r="E88" s="35" t="n">
        <f aca="false">E84-E87</f>
        <v>0</v>
      </c>
      <c r="F88" s="35" t="n">
        <f aca="false">F84-F87</f>
        <v>0</v>
      </c>
      <c r="G88" s="35" t="n">
        <f aca="false">G84-G87</f>
        <v>0</v>
      </c>
      <c r="H88" s="35" t="n">
        <f aca="false">H84-H87</f>
        <v>0</v>
      </c>
      <c r="I88" s="35" t="n">
        <f aca="false">I84-I87</f>
        <v>0</v>
      </c>
      <c r="J88" s="35" t="n">
        <f aca="false">J84-J87</f>
        <v>0</v>
      </c>
      <c r="K88" s="35" t="n">
        <f aca="false">K84-K87</f>
        <v>0</v>
      </c>
      <c r="L88" s="35" t="n">
        <f aca="false">L84-L87</f>
        <v>0</v>
      </c>
    </row>
    <row r="89" customFormat="false" ht="15" hidden="false" customHeight="false" outlineLevel="0" collapsed="false">
      <c r="A89" s="7" t="s">
        <v>329</v>
      </c>
      <c r="B89" s="2"/>
      <c r="C89" s="33" t="n">
        <f aca="false">IF(C$5&gt;=$B$80,$B$81*(1-Assumptions!$F$63)^(C$5-$B$80+1),0)</f>
        <v>0</v>
      </c>
      <c r="D89" s="33" t="n">
        <f aca="false">IF(D$5&gt;=$B$80,$B$81*(1-Assumptions!$F$63)^(D$5-$B$80+1),0)</f>
        <v>0</v>
      </c>
      <c r="E89" s="33" t="n">
        <f aca="false">IF(E$5&gt;=$B$80,$B$81*(1-Assumptions!$F$63)^(E$5-$B$80+1),0)</f>
        <v>0</v>
      </c>
      <c r="F89" s="33" t="n">
        <f aca="false">IF(F$5&gt;=$B$80,$B$81*(1-Assumptions!$F$63)^(F$5-$B$80+1),0)</f>
        <v>0</v>
      </c>
      <c r="G89" s="33" t="n">
        <f aca="false">IF(G$5&gt;=$B$80,$B$81*(1-Assumptions!$F$63)^(G$5-$B$80+1),0)</f>
        <v>0</v>
      </c>
      <c r="H89" s="33" t="n">
        <f aca="false">IF(H$5&gt;=$B$80,$B$81*(1-Assumptions!$F$63)^(H$5-$B$80+1),0)</f>
        <v>0</v>
      </c>
      <c r="I89" s="33" t="n">
        <f aca="false">IF(I$5&gt;=$B$80,$B$81*(1-Assumptions!$F$63)^(I$5-$B$80+1),0)</f>
        <v>0</v>
      </c>
      <c r="J89" s="33" t="n">
        <f aca="false">IF(J$5&gt;=$B$80,$B$81*(1-Assumptions!$F$63)^(J$5-$B$80+1),0)</f>
        <v>0</v>
      </c>
      <c r="K89" s="33" t="n">
        <f aca="false">IF(K$5&gt;=$B$80,$B$81*(1-Assumptions!$F$63)^(K$5-$B$80+1),0)</f>
        <v>0</v>
      </c>
      <c r="L89" s="33" t="n">
        <f aca="false">IF(L$5&gt;=$B$80,$B$81*(1-Assumptions!$F$63)^(L$5-$B$80+1),0)</f>
        <v>0</v>
      </c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customFormat="false" ht="15" hidden="false" customHeight="false" outlineLevel="0" collapsed="false">
      <c r="A91" s="16" t="s">
        <v>336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customFormat="false" ht="15" hidden="false" customHeight="false" outlineLevel="0" collapsed="false">
      <c r="A92" s="12" t="s">
        <v>337</v>
      </c>
      <c r="B92" s="2"/>
      <c r="C92" s="19" t="n">
        <f aca="false">C13+C25+C37+C49+C61+C73+C85</f>
        <v>783000</v>
      </c>
      <c r="D92" s="19" t="n">
        <f aca="false">D13+D25+D37+D49+D61+D73+D85</f>
        <v>752435.86837126</v>
      </c>
      <c r="E92" s="19" t="n">
        <f aca="false">E13+E25+E37+E49+E61+E73+E85</f>
        <v>719655.837199436</v>
      </c>
      <c r="F92" s="19" t="n">
        <f aca="false">F13+F25+F37+F49+F61+F73+F85</f>
        <v>1467499.25376765</v>
      </c>
      <c r="G92" s="19" t="n">
        <f aca="false">G13+G25+G37+G49+G61+G73+G85</f>
        <v>1399229.68640833</v>
      </c>
      <c r="H92" s="19" t="n">
        <f aca="false">H13+H25+H37+H49+H61+H73+H85</f>
        <v>1326010.57541545</v>
      </c>
      <c r="I92" s="19" t="n">
        <f aca="false">I13+I25+I37+I49+I61+I73+I85</f>
        <v>2030483.07887559</v>
      </c>
      <c r="J92" s="19" t="n">
        <f aca="false">J13+J25+J37+J49+J61+J73+J85</f>
        <v>1915698.20720785</v>
      </c>
      <c r="K92" s="19" t="n">
        <f aca="false">K13+K25+K37+K49+K61+K73+K85</f>
        <v>1792591.4323442</v>
      </c>
      <c r="L92" s="19" t="n">
        <f aca="false">L13+L25+L37+L49+L61+L73+L85</f>
        <v>1660559.41630293</v>
      </c>
    </row>
    <row r="93" customFormat="false" ht="15" hidden="false" customHeight="false" outlineLevel="0" collapsed="false">
      <c r="A93" s="12" t="s">
        <v>338</v>
      </c>
      <c r="B93" s="2"/>
      <c r="C93" s="19" t="n">
        <f aca="false">C15+C27+C39+C51+C63+C75+C87</f>
        <v>421574.229361937</v>
      </c>
      <c r="D93" s="19" t="n">
        <f aca="false">D15+D27+D39+D51+D63+D75+D87</f>
        <v>452138.360990678</v>
      </c>
      <c r="E93" s="19" t="n">
        <f aca="false">E15+E27+E39+E51+E63+E75+E87</f>
        <v>484918.392162502</v>
      </c>
      <c r="F93" s="19" t="n">
        <f aca="false">F15+F27+F39+F51+F63+F75+F87</f>
        <v>941649.204956221</v>
      </c>
      <c r="G93" s="19" t="n">
        <f aca="false">G15+G27+G39+G51+G63+G75+G87</f>
        <v>1009918.77231555</v>
      </c>
      <c r="H93" s="19" t="n">
        <f aca="false">H15+H27+H39+H51+H63+H75+H87</f>
        <v>1083137.88330842</v>
      </c>
      <c r="I93" s="19" t="n">
        <f aca="false">I15+I27+I39+I51+I63+I75+I87</f>
        <v>1583239.60921022</v>
      </c>
      <c r="J93" s="19" t="n">
        <f aca="false">J15+J27+J39+J51+J63+J75+J87</f>
        <v>1698024.48087796</v>
      </c>
      <c r="K93" s="19" t="n">
        <f aca="false">K15+K27+K39+K51+K63+K75+K87</f>
        <v>1821131.25574162</v>
      </c>
      <c r="L93" s="19" t="n">
        <f aca="false">L15+L27+L39+L51+L63+L75+L87</f>
        <v>1953163.27178288</v>
      </c>
    </row>
    <row r="94" customFormat="false" ht="15" hidden="false" customHeight="false" outlineLevel="0" collapsed="false">
      <c r="A94" s="12" t="s">
        <v>339</v>
      </c>
      <c r="B94" s="2"/>
      <c r="C94" s="19" t="n">
        <f aca="false">C16+C28+C40+C52+C64+C76+C88</f>
        <v>10378425.7706381</v>
      </c>
      <c r="D94" s="19" t="n">
        <f aca="false">D16+D28+D40+D52+D64+D76+D88</f>
        <v>9926287.40964739</v>
      </c>
      <c r="E94" s="19" t="n">
        <f aca="false">E16+E28+E40+E52+E64+E76+E88</f>
        <v>9441369.01748489</v>
      </c>
      <c r="F94" s="19" t="n">
        <f aca="false">F16+F28+F40+F52+F64+F76+F88</f>
        <v>19299719.8125287</v>
      </c>
      <c r="G94" s="19" t="n">
        <f aca="false">G16+G28+G40+G52+G64+G76+G88</f>
        <v>18289801.0402131</v>
      </c>
      <c r="H94" s="19" t="n">
        <f aca="false">H16+H28+H40+H52+H64+H76+H88</f>
        <v>17206663.1569047</v>
      </c>
      <c r="I94" s="19" t="n">
        <f aca="false">I16+I28+I40+I52+I64+I76+I88</f>
        <v>26423423.5476945</v>
      </c>
      <c r="J94" s="19" t="n">
        <f aca="false">J16+J28+J40+J52+J64+J76+J88</f>
        <v>24725399.0668165</v>
      </c>
      <c r="K94" s="19" t="n">
        <f aca="false">K16+K28+K40+K52+K64+K76+K88</f>
        <v>22904267.8110749</v>
      </c>
      <c r="L94" s="19" t="n">
        <f aca="false">L16+L28+L40+L52+L64+L76+L88</f>
        <v>20951104.539292</v>
      </c>
    </row>
    <row r="95" customFormat="false" ht="15" hidden="false" customHeight="false" outlineLevel="0" collapsed="false">
      <c r="A95" s="12" t="s">
        <v>340</v>
      </c>
      <c r="B95" s="2"/>
      <c r="C95" s="19" t="n">
        <f aca="false">C17+C29+C41+C53+C65+C77+C89</f>
        <v>12825000</v>
      </c>
      <c r="D95" s="19" t="n">
        <f aca="false">D17+D29+D41+D53+D65+D77+D89</f>
        <v>12183750</v>
      </c>
      <c r="E95" s="19" t="n">
        <f aca="false">E17+E29+E41+E53+E65+E77+E89</f>
        <v>11574562.5</v>
      </c>
      <c r="F95" s="19" t="n">
        <f aca="false">F17+F29+F41+F53+F65+F77+F89</f>
        <v>23820834.375</v>
      </c>
      <c r="G95" s="19" t="n">
        <f aca="false">G17+G29+G41+G53+G65+G77+G89</f>
        <v>22629792.65625</v>
      </c>
      <c r="H95" s="19" t="n">
        <f aca="false">H17+H29+H41+H53+H65+H77+H89</f>
        <v>21498303.0234375</v>
      </c>
      <c r="I95" s="19" t="n">
        <f aca="false">I17+I29+I41+I53+I65+I77+I89</f>
        <v>33248387.8722656</v>
      </c>
      <c r="J95" s="19" t="n">
        <f aca="false">J17+J29+J41+J53+J65+J77+J89</f>
        <v>31585968.4786523</v>
      </c>
      <c r="K95" s="19" t="n">
        <f aca="false">K17+K29+K41+K53+K65+K77+K89</f>
        <v>30006670.0547197</v>
      </c>
      <c r="L95" s="19" t="n">
        <f aca="false">L17+L29+L41+L53+L65+L77+L89</f>
        <v>28506336.5519837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341</v>
      </c>
      <c r="B1" s="2"/>
      <c r="C1" s="2"/>
      <c r="D1" s="2"/>
    </row>
    <row r="2" customFormat="false" ht="15" hidden="false" customHeight="false" outlineLevel="0" collapsed="false">
      <c r="A2" s="3" t="s">
        <v>342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5" t="s">
        <v>266</v>
      </c>
      <c r="B4" s="6"/>
      <c r="C4" s="6" t="s">
        <v>3</v>
      </c>
      <c r="D4" s="6" t="s">
        <v>165</v>
      </c>
    </row>
    <row r="5" customFormat="false" ht="15" hidden="false" customHeight="false" outlineLevel="0" collapsed="false">
      <c r="A5" s="7" t="s">
        <v>148</v>
      </c>
      <c r="B5" s="2"/>
      <c r="C5" s="46" t="n">
        <f aca="false">Assumptions!$F$60</f>
        <v>2036</v>
      </c>
      <c r="D5" s="3"/>
    </row>
    <row r="6" customFormat="false" ht="15" hidden="false" customHeight="false" outlineLevel="0" collapsed="false">
      <c r="A6" s="7" t="s">
        <v>252</v>
      </c>
      <c r="B6" s="2"/>
      <c r="C6" s="33" t="n">
        <f aca="false">INDEX(Forecast!$C$59:$L$59,MATCH(Assumptions!$F$60,Forecast!$C$5:$L$5,0))</f>
        <v>28506336.5519837</v>
      </c>
      <c r="D6" s="3" t="s">
        <v>343</v>
      </c>
    </row>
    <row r="7" customFormat="false" ht="15" hidden="false" customHeight="false" outlineLevel="0" collapsed="false">
      <c r="A7" s="7" t="s">
        <v>344</v>
      </c>
      <c r="B7" s="2"/>
      <c r="C7" s="33" t="n">
        <f aca="false">-C6*Assumptions!$F$62</f>
        <v>-570126.731039675</v>
      </c>
      <c r="D7" s="3"/>
    </row>
    <row r="8" customFormat="false" ht="15" hidden="false" customHeight="false" outlineLevel="0" collapsed="false">
      <c r="A8" s="7" t="s">
        <v>345</v>
      </c>
      <c r="B8" s="2"/>
      <c r="C8" s="33" t="n">
        <f aca="false">INDEX(Forecast!$C$22:$L$22,MATCH(Assumptions!$F$60,Forecast!$C$5:$L$5,0))</f>
        <v>3000978.32280726</v>
      </c>
      <c r="D8" s="3" t="s">
        <v>346</v>
      </c>
    </row>
    <row r="9" customFormat="false" ht="15" hidden="false" customHeight="false" outlineLevel="0" collapsed="false">
      <c r="A9" s="7" t="s">
        <v>347</v>
      </c>
      <c r="B9" s="2"/>
      <c r="C9" s="33" t="n">
        <f aca="false">C8*Assumptions!$F$61</f>
        <v>18005869.9368436</v>
      </c>
      <c r="D9" s="3" t="s">
        <v>348</v>
      </c>
    </row>
    <row r="10" customFormat="false" ht="15" hidden="false" customHeight="false" outlineLevel="0" collapsed="false">
      <c r="A10" s="12" t="s">
        <v>349</v>
      </c>
      <c r="B10" s="2"/>
      <c r="C10" s="35" t="n">
        <f aca="false">C6+C7+C9</f>
        <v>45942079.7577876</v>
      </c>
      <c r="D10" s="3"/>
    </row>
    <row r="11" customFormat="false" ht="15" hidden="false" customHeight="false" outlineLevel="0" collapsed="false">
      <c r="A11" s="7" t="s">
        <v>350</v>
      </c>
      <c r="B11" s="2"/>
      <c r="C11" s="33" t="n">
        <f aca="false">-INDEX(Forecast!$C$60:$L$60,MATCH(Assumptions!$F$60,Forecast!$C$5:$L$5,0))</f>
        <v>-20951104.539292</v>
      </c>
      <c r="D11" s="3"/>
    </row>
    <row r="12" customFormat="false" ht="15" hidden="false" customHeight="false" outlineLevel="0" collapsed="false">
      <c r="A12" s="7" t="s">
        <v>351</v>
      </c>
      <c r="B12" s="2"/>
      <c r="C12" s="33" t="n">
        <f aca="false">INDEX(Forecast!$C$55:$L$55,MATCH(Assumptions!$F$60,Forecast!$C$5:$L$5,0))</f>
        <v>6703367.97422733</v>
      </c>
      <c r="D12" s="3"/>
    </row>
    <row r="13" customFormat="false" ht="15" hidden="false" customHeight="false" outlineLevel="0" collapsed="false">
      <c r="A13" s="12" t="s">
        <v>352</v>
      </c>
      <c r="B13" s="2"/>
      <c r="C13" s="19" t="n">
        <f aca="false">SUM(C10:C12)</f>
        <v>31694343.1927229</v>
      </c>
      <c r="D13" s="3"/>
    </row>
    <row r="14" customFormat="false" ht="15" hidden="false" customHeight="false" outlineLevel="0" collapsed="false">
      <c r="A14" s="7" t="s">
        <v>353</v>
      </c>
      <c r="B14" s="2"/>
      <c r="C14" s="35" t="n">
        <f aca="false">0</f>
        <v>0</v>
      </c>
      <c r="D14" s="3" t="s">
        <v>354</v>
      </c>
    </row>
    <row r="15" customFormat="false" ht="15" hidden="false" customHeight="false" outlineLevel="0" collapsed="false">
      <c r="A15" s="12" t="s">
        <v>355</v>
      </c>
      <c r="B15" s="2"/>
      <c r="C15" s="19" t="n">
        <f aca="false">C13+C14</f>
        <v>31694343.1927229</v>
      </c>
      <c r="D15" s="3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7" t="s">
        <v>356</v>
      </c>
      <c r="B17" s="2"/>
      <c r="C17" s="33" t="n">
        <f aca="false">SUMPRODUCT((Forecast!$C$5:$L$5&lt;=Assumptions!$F$60)*Forecast!$C$54:$L$54)</f>
        <v>17667996.4067273</v>
      </c>
      <c r="D17" s="3"/>
    </row>
    <row r="18" customFormat="false" ht="15" hidden="false" customHeight="false" outlineLevel="0" collapsed="false">
      <c r="A18" s="12" t="s">
        <v>357</v>
      </c>
      <c r="B18" s="2"/>
      <c r="C18" s="32" t="n">
        <f aca="false">IF(C17=0,0,C15/C17)</f>
        <v>1.7938844033642</v>
      </c>
      <c r="D18" s="3"/>
    </row>
    <row r="19" customFormat="false" ht="15" hidden="false" customHeight="false" outlineLevel="0" collapsed="false">
      <c r="A19" s="12" t="s">
        <v>21</v>
      </c>
      <c r="B19" s="2"/>
      <c r="C19" s="11" t="n">
        <f aca="false">IFERROR(IRR(Forecast!$C$72:$L$72),"n/a")</f>
        <v>0.0940019775497642</v>
      </c>
      <c r="D19" s="3" t="s">
        <v>358</v>
      </c>
    </row>
    <row r="20" customFormat="false" ht="15" hidden="false" customHeight="false" outlineLevel="0" collapsed="false">
      <c r="A20" s="7" t="s">
        <v>359</v>
      </c>
      <c r="B20" s="2"/>
      <c r="C20" s="33" t="n">
        <f aca="false">MAX(Forecast!$C$56:$L$56)</f>
        <v>17667996.4067273</v>
      </c>
      <c r="D20" s="3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2026-10-30T06:57:53Z</dcterms:created>
  <dc:creator>openpyxl</dc:creator>
  <dc:description/>
  <dc:language>en-US</dc:language>
  <cp:lastModifiedBy/>
  <dcterms:modified xsi:type="dcterms:W3CDTF">2026-10-30T06:57:53Z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